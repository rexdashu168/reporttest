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公司查詢" sheetId="1" state="visible" r:id="rId1"/>
    <sheet xmlns:r="http://schemas.openxmlformats.org/officeDocument/2006/relationships" name="報導總表" sheetId="2" state="visible" r:id="rId2"/>
    <sheet xmlns:r="http://schemas.openxmlformats.org/officeDocument/2006/relationships" name="完整內容收錄" sheetId="3" state="visible" r:id="rId3"/>
    <sheet xmlns:r="http://schemas.openxmlformats.org/officeDocument/2006/relationships" name="產業趨勢專區" sheetId="4" state="visible" r:id="rId4"/>
    <sheet xmlns:r="http://schemas.openxmlformats.org/officeDocument/2006/relationships" name="公司代碼對照" sheetId="5" state="visible" r:id="rId5"/>
    <sheet xmlns:r="http://schemas.openxmlformats.org/officeDocument/2006/relationships" name="使用說明" sheetId="6" state="visible" r:id="rId6"/>
    <sheet xmlns:r="http://schemas.openxmlformats.org/officeDocument/2006/relationships" name="查詢輔助" sheetId="7" state="hidden" r:id="rId7"/>
  </sheets>
  <definedNames>
    <definedName name="_xlnm._FilterDatabase" localSheetId="1" hidden="1">'報導總表'!$A$1:$H$51</definedName>
    <definedName name="_xlnm._FilterDatabase" localSheetId="2" hidden="1">'完整內容收錄'!$A$1:$G$51</definedName>
    <definedName name="_xlnm._FilterDatabase" localSheetId="3" hidden="1">'產業趨勢專區'!$A$1:$G$5</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b val="1"/>
      <color rgb="00FFFFFF"/>
      <sz val="11"/>
    </font>
    <font>
      <b val="1"/>
      <color rgb="00FFFFFF"/>
      <sz val="16"/>
    </font>
    <font>
      <b val="1"/>
      <sz val="12"/>
    </font>
    <font>
      <b val="1"/>
      <color rgb="000066CC"/>
      <sz val="11"/>
    </font>
    <font>
      <i val="1"/>
      <sz val="10"/>
    </font>
    <font>
      <i val="1"/>
      <color rgb="00666666"/>
      <sz val="10"/>
    </font>
    <font>
      <b val="1"/>
      <color rgb="00FFFFFF"/>
      <sz val="10"/>
    </font>
    <font>
      <color rgb="00999999"/>
      <sz val="10"/>
    </font>
    <font>
      <i val="1"/>
      <color rgb="00999999"/>
      <sz val="10"/>
    </font>
    <font>
      <b val="1"/>
      <color rgb="000066CC"/>
      <sz val="13"/>
    </font>
    <font>
      <sz val="11"/>
    </font>
    <font>
      <b val="1"/>
      <color rgb="00FFFFFF"/>
      <sz val="14"/>
    </font>
    <font>
      <b val="1"/>
      <sz val="11"/>
    </font>
    <font>
      <b val="1"/>
      <color rgb="00FFFFFF"/>
      <sz val="12"/>
    </font>
    <font>
      <sz val="10"/>
    </font>
    <font>
      <i val="1"/>
      <color rgb="00548235"/>
      <sz val="10"/>
    </font>
    <font>
      <name val="微軟正黑體"/>
      <b val="1"/>
      <color rgb="00FFFFFF"/>
      <sz val="16"/>
    </font>
    <font>
      <name val="微軟正黑體"/>
      <b val="1"/>
      <color rgb="001F4E78"/>
      <sz val="11"/>
    </font>
    <font>
      <name val="微軟正黑體"/>
      <b val="1"/>
      <sz val="12"/>
    </font>
    <font>
      <name val="微軟正黑體"/>
      <i val="1"/>
      <color rgb="007F6000"/>
      <sz val="9"/>
    </font>
    <font>
      <name val="微軟正黑體"/>
      <b val="1"/>
      <color rgb="00FFFFFF"/>
      <sz val="12"/>
    </font>
    <font>
      <name val="微軟正黑體"/>
      <b val="1"/>
      <color rgb="001F4E78"/>
      <sz val="10"/>
    </font>
    <font>
      <name val="微軟正黑體"/>
      <color rgb="00000000"/>
      <sz val="10"/>
    </font>
    <font>
      <name val="微軟正黑體"/>
      <i val="1"/>
      <color rgb="00548235"/>
      <sz val="9"/>
    </font>
    <font>
      <name val="微軟正黑體"/>
      <i val="1"/>
      <color rgb="00999999"/>
      <sz val="9"/>
    </font>
    <font>
      <name val="微軟正黑體"/>
      <sz val="10"/>
    </font>
  </fonts>
  <fills count="14">
    <fill>
      <patternFill/>
    </fill>
    <fill>
      <patternFill patternType="gray125"/>
    </fill>
    <fill>
      <patternFill patternType="solid">
        <fgColor rgb="00366092"/>
        <bgColor rgb="00366092"/>
      </patternFill>
    </fill>
    <fill>
      <patternFill patternType="solid">
        <fgColor rgb="00203864"/>
        <bgColor rgb="00203864"/>
      </patternFill>
    </fill>
    <fill>
      <patternFill patternType="solid">
        <fgColor rgb="00FFF2CC"/>
        <bgColor rgb="00FFF2CC"/>
      </patternFill>
    </fill>
    <fill>
      <patternFill patternType="solid">
        <fgColor rgb="00E7E6E6"/>
        <bgColor rgb="00E7E6E6"/>
      </patternFill>
    </fill>
    <fill>
      <patternFill patternType="solid">
        <fgColor rgb="004472C4"/>
        <bgColor rgb="004472C4"/>
      </patternFill>
    </fill>
    <fill>
      <patternFill patternType="solid">
        <fgColor rgb="00FFF9E6"/>
        <bgColor rgb="00FFF9E6"/>
      </patternFill>
    </fill>
    <fill>
      <patternFill patternType="solid">
        <fgColor rgb="00D9E1F2"/>
        <bgColor rgb="00D9E1F2"/>
      </patternFill>
    </fill>
    <fill>
      <patternFill patternType="solid">
        <fgColor rgb="00FFFFFF"/>
        <bgColor rgb="00FFFFFF"/>
      </patternFill>
    </fill>
    <fill>
      <patternFill patternType="solid">
        <fgColor rgb="00E2EFDA"/>
        <bgColor rgb="00E2EFDA"/>
      </patternFill>
    </fill>
    <fill>
      <patternFill patternType="solid">
        <fgColor rgb="00F2F2F2"/>
        <bgColor rgb="00F2F2F2"/>
      </patternFill>
    </fill>
    <fill>
      <patternFill patternType="solid">
        <fgColor rgb="001F4E78"/>
        <bgColor rgb="001F4E78"/>
      </patternFill>
    </fill>
    <fill>
      <patternFill patternType="solid">
        <fgColor rgb="002E75B5"/>
        <bgColor rgb="002E75B5"/>
      </patternFill>
    </fill>
  </fills>
  <borders count="6">
    <border>
      <left/>
      <right/>
      <top/>
      <bottom/>
      <diagonal/>
    </border>
    <border>
      <left style="thin"/>
      <right style="thin"/>
      <top style="thin"/>
      <bottom style="thin"/>
    </border>
    <border>
      <left style="medium">
        <color rgb="00366092"/>
      </left>
      <right style="medium">
        <color rgb="00366092"/>
      </right>
      <top style="medium">
        <color rgb="00366092"/>
      </top>
      <bottom style="medium">
        <color rgb="00366092"/>
      </bottom>
    </border>
    <border>
      <left style="medium">
        <color rgb="001F4E78"/>
      </left>
      <right style="medium">
        <color rgb="001F4E78"/>
      </right>
      <top style="medium">
        <color rgb="001F4E78"/>
      </top>
      <bottom style="medium">
        <color rgb="001F4E78"/>
      </bottom>
    </border>
    <border>
      <left style="thin">
        <color rgb="00CCCCCC"/>
      </left>
      <right style="thin">
        <color rgb="00CCCCCC"/>
      </right>
      <top style="thin">
        <color rgb="00CCCCCC"/>
      </top>
      <bottom style="thin">
        <color rgb="00CCCCCC"/>
      </bottom>
    </border>
    <border>
      <left style="thin">
        <color rgb="002E75B5"/>
      </left>
      <right style="thin">
        <color rgb="002E75B5"/>
      </right>
      <top style="thin">
        <color rgb="002E75B5"/>
      </top>
      <bottom style="thin">
        <color rgb="002E75B5"/>
      </bottom>
    </border>
  </borders>
  <cellStyleXfs count="1">
    <xf numFmtId="0" fontId="0" fillId="0" borderId="0"/>
  </cellStyleXfs>
  <cellXfs count="4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0" applyAlignment="1" pivotButton="0" quotePrefix="0" xfId="0">
      <alignment horizontal="center" vertical="center" wrapText="1"/>
    </xf>
    <xf numFmtId="0" fontId="3" fillId="0" borderId="0" applyAlignment="1" pivotButton="0" quotePrefix="0" xfId="0">
      <alignment horizontal="right" vertical="center"/>
    </xf>
    <xf numFmtId="0" fontId="0" fillId="4" borderId="1" pivotButton="0" quotePrefix="0" xfId="0"/>
    <xf numFmtId="0" fontId="4" fillId="0" borderId="0" pivotButton="0" quotePrefix="0" xfId="0"/>
    <xf numFmtId="0" fontId="5" fillId="0" borderId="0" applyAlignment="1" pivotButton="0" quotePrefix="0" xfId="0">
      <alignment horizontal="left" vertical="center" wrapText="1"/>
    </xf>
    <xf numFmtId="0" fontId="8" fillId="0" borderId="0" pivotButton="0" quotePrefix="0" xfId="0"/>
    <xf numFmtId="0" fontId="6" fillId="0" borderId="0" applyAlignment="1" pivotButton="0" quotePrefix="0" xfId="0">
      <alignment horizontal="left" vertical="center" wrapText="1"/>
    </xf>
    <xf numFmtId="0" fontId="3" fillId="5" borderId="0" pivotButton="0" quotePrefix="0" xfId="0"/>
    <xf numFmtId="0" fontId="7" fillId="6" borderId="1" applyAlignment="1" pivotButton="0" quotePrefix="0" xfId="0">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0" borderId="1" pivotButton="0" quotePrefix="0" xfId="0"/>
    <xf numFmtId="0" fontId="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3" borderId="2" applyAlignment="1" pivotButton="0" quotePrefix="0" xfId="0">
      <alignment horizontal="center" vertical="center" wrapText="1"/>
    </xf>
    <xf numFmtId="0" fontId="13" fillId="5" borderId="1" applyAlignment="1" pivotButton="0" quotePrefix="0" xfId="0">
      <alignment horizontal="left" vertical="top" wrapText="1"/>
    </xf>
    <xf numFmtId="0" fontId="3" fillId="4" borderId="2" applyAlignment="1" pivotButton="0" quotePrefix="0" xfId="0">
      <alignment horizontal="left" vertical="center"/>
    </xf>
    <xf numFmtId="0" fontId="5" fillId="7" borderId="1" applyAlignment="1" pivotButton="0" quotePrefix="0" xfId="0">
      <alignment horizontal="left" vertical="top" wrapText="1"/>
    </xf>
    <xf numFmtId="0" fontId="14" fillId="6" borderId="2" applyAlignment="1" pivotButton="0" quotePrefix="0" xfId="0">
      <alignment horizontal="center" vertical="center" wrapText="1"/>
    </xf>
    <xf numFmtId="0" fontId="13" fillId="8" borderId="2" applyAlignment="1" pivotButton="0" quotePrefix="0" xfId="0">
      <alignment horizontal="left" vertical="top" wrapText="1"/>
    </xf>
    <xf numFmtId="0" fontId="15" fillId="9" borderId="2" applyAlignment="1" pivotButton="0" quotePrefix="0" xfId="0">
      <alignment horizontal="left" vertical="top" wrapText="1"/>
    </xf>
    <xf numFmtId="0" fontId="16" fillId="10" borderId="2" applyAlignment="1" pivotButton="0" quotePrefix="0" xfId="0">
      <alignment horizontal="left" vertical="top" wrapText="1"/>
    </xf>
    <xf numFmtId="0" fontId="6" fillId="11" borderId="1" applyAlignment="1" pivotButton="0" quotePrefix="0" xfId="0">
      <alignment horizontal="left" vertical="top" wrapText="1"/>
    </xf>
    <xf numFmtId="0" fontId="17" fillId="12" borderId="3" applyAlignment="1" pivotButton="0" quotePrefix="0" xfId="0">
      <alignment horizontal="center" vertical="center" wrapText="1"/>
    </xf>
    <xf numFmtId="0" fontId="18" fillId="0" borderId="4" applyAlignment="1" pivotButton="0" quotePrefix="0" xfId="0">
      <alignment horizontal="left" vertical="center" wrapText="1"/>
    </xf>
    <xf numFmtId="0" fontId="19" fillId="4" borderId="3" applyAlignment="1" pivotButton="0" quotePrefix="0" xfId="0">
      <alignment horizontal="center" vertical="center"/>
    </xf>
    <xf numFmtId="0" fontId="20" fillId="7" borderId="4" applyAlignment="1" pivotButton="0" quotePrefix="0" xfId="0">
      <alignment horizontal="left" vertical="center" wrapText="1"/>
    </xf>
    <xf numFmtId="0" fontId="21" fillId="13" borderId="3" applyAlignment="1" pivotButton="0" quotePrefix="0" xfId="0">
      <alignment horizontal="center" vertical="center" wrapText="1"/>
    </xf>
    <xf numFmtId="0" fontId="22" fillId="8" borderId="5" applyAlignment="1" pivotButton="0" quotePrefix="0" xfId="0">
      <alignment horizontal="left" vertical="center" wrapText="1"/>
    </xf>
    <xf numFmtId="0" fontId="18" fillId="9" borderId="5" applyAlignment="1" pivotButton="0" quotePrefix="0" xfId="0">
      <alignment horizontal="left" vertical="top" wrapText="1"/>
    </xf>
    <xf numFmtId="0" fontId="23" fillId="9" borderId="5" applyAlignment="1" pivotButton="0" quotePrefix="0" xfId="0">
      <alignment horizontal="left" vertical="top" wrapText="1"/>
    </xf>
    <xf numFmtId="0" fontId="24" fillId="10" borderId="5" applyAlignment="1" pivotButton="0" quotePrefix="0" xfId="0">
      <alignment horizontal="left" vertical="center" wrapText="1"/>
    </xf>
    <xf numFmtId="0" fontId="25" fillId="0" borderId="0" applyAlignment="1" pivotButton="0" quotePrefix="0" xfId="0">
      <alignment horizontal="center" vertical="center" wrapText="1"/>
    </xf>
    <xf numFmtId="0" fontId="18" fillId="5" borderId="4" applyAlignment="1" pivotButton="0" quotePrefix="0" xfId="0">
      <alignment horizontal="left" vertical="center" wrapText="1"/>
    </xf>
    <xf numFmtId="0" fontId="22" fillId="8" borderId="4" applyAlignment="1" pivotButton="0" quotePrefix="0" xfId="0">
      <alignment horizontal="left" vertical="center" wrapText="1"/>
    </xf>
    <xf numFmtId="0" fontId="23" fillId="0" borderId="4" applyAlignment="1" pivotButton="0" quotePrefix="0" xfId="0">
      <alignment horizontal="left" vertical="top" wrapText="1"/>
    </xf>
    <xf numFmtId="0" fontId="24" fillId="10" borderId="4" applyAlignment="1" pivotButton="0" quotePrefix="0" xfId="0">
      <alignment horizontal="left" vertical="center" wrapText="1"/>
    </xf>
    <xf numFmtId="1" fontId="26" fillId="0" borderId="1" applyAlignment="1" pivotButton="0" quotePrefix="0" xfId="0">
      <alignment horizontal="center" vertical="center"/>
    </xf>
    <xf numFmtId="0" fontId="26" fillId="0" borderId="1" applyAlignment="1" pivotButton="0" quotePrefix="0" xfId="0">
      <alignment horizontal="center" vertical="center"/>
    </xf>
    <xf numFmtId="0" fontId="26" fillId="0" borderId="1" applyAlignment="1" pivotButton="0" quotePrefix="0" xfId="0">
      <alignment horizontal="left" vertical="top" wrapText="1"/>
    </xf>
    <xf numFmtId="1" fontId="0" fillId="0" borderId="1" applyAlignment="1" pivotButton="0" quotePrefix="0" xfId="0">
      <alignment horizontal="center" vertical="center" wrapText="1"/>
    </xf>
    <xf numFmtId="1" fontId="0" fillId="0" borderId="0" pivotButton="0" quotePrefix="0" xfId="0"/>
    <xf numFmtId="0" fontId="0" fillId="0" borderId="1" applyAlignment="1" pivotButton="0" quotePrefix="0" xfId="0">
      <alignment horizontal="left" vertical="top" wrapText="1"/>
    </xf>
    <xf numFmtId="1" fontId="2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00" customWidth="1" min="1" max="1"/>
  </cols>
  <sheetData>
    <row r="1" ht="40" customHeight="1">
      <c r="A1" s="28" t="inlineStr">
        <is>
          <t>外電綜合報導查詢系統</t>
        </is>
      </c>
    </row>
    <row r="2" ht="5" customHeight="1"/>
    <row r="3" ht="22" customHeight="1">
      <c r="A3" s="29" t="inlineStr">
        <is>
          <t>查詢條件  請輸入股號或公司名稱（例如：3017 或 奇鋐）</t>
        </is>
      </c>
    </row>
    <row r="4" ht="32" customHeight="1">
      <c r="A4" s="30" t="inlineStr"/>
    </row>
    <row r="5" ht="8" customHeight="1"/>
    <row r="6" ht="28" customHeight="1">
      <c r="A6" s="38">
        <f>IF(A4="","請在上方輸入查詢條件","查詢結果：" &amp; A4 &amp; "  共找到 " &amp; MAX(查詢輔助!C:C) &amp; " 筆報導")</f>
        <v/>
      </c>
    </row>
    <row r="7" ht="8" customHeight="1"/>
    <row r="8" ht="30" customHeight="1">
      <c r="A8" s="32" t="inlineStr">
        <is>
          <t>查詢結果</t>
        </is>
      </c>
    </row>
    <row r="9" ht="8" customHeight="1"/>
    <row r="10" ht="24" customHeight="1">
      <c r="A10" s="39">
        <f>IF(A4="","",IF(MAX(查詢輔助!C:C)&lt;1,"",INDEX(完整內容收錄!B:B,MATCH(1,查詢輔助!C:C,0))&amp;"  │  券商："&amp;INDEX(完整內容收錄!E:E,MATCH(1,查詢輔助!C:C,0))&amp;"  │  "&amp;INDEX(報導總表!F:F,MATCH(1,查詢輔助!C:C,0))&amp;"  │  "&amp;INDEX(報導總表!G:G,MATCH(1,查詢輔助!C:C,0))))</f>
        <v/>
      </c>
    </row>
    <row r="11" ht="120" customHeight="1">
      <c r="A11" s="40">
        <f>IF(A4="","",IF(MAX(查詢輔助!C:C)&lt;1,"",INDEX(完整內容收錄!F:F,MATCH(1,查詢輔助!C:C,0))))</f>
        <v/>
      </c>
    </row>
    <row r="12" ht="22" customHeight="1">
      <c r="A12" s="41">
        <f>IF(A4="","",IF(MAX(查詢輔助!C:C)&lt;1,"","標籤："&amp;INDEX(完整內容收錄!G:G,MATCH(1,查詢輔助!C:C,0))))</f>
        <v/>
      </c>
    </row>
    <row r="13" ht="12" customHeight="1"/>
    <row r="14" ht="24" customHeight="1">
      <c r="A14" s="39">
        <f>IF(A4="","",IF(MAX(查詢輔助!C:C)&lt;2,"",INDEX(完整內容收錄!B:B,MATCH(2,查詢輔助!C:C,0))&amp;"  │  券商："&amp;INDEX(完整內容收錄!E:E,MATCH(2,查詢輔助!C:C,0))&amp;"  │  "&amp;INDEX(報導總表!F:F,MATCH(2,查詢輔助!C:C,0))&amp;"  │  "&amp;INDEX(報導總表!G:G,MATCH(2,查詢輔助!C:C,0))))</f>
        <v/>
      </c>
    </row>
    <row r="15" ht="120" customHeight="1">
      <c r="A15" s="40">
        <f>IF(A4="","",IF(MAX(查詢輔助!C:C)&lt;2,"",INDEX(完整內容收錄!F:F,MATCH(2,查詢輔助!C:C,0))))</f>
        <v/>
      </c>
    </row>
    <row r="16" ht="22" customHeight="1">
      <c r="A16" s="41">
        <f>IF(A4="","",IF(MAX(查詢輔助!C:C)&lt;2,"","標籤："&amp;INDEX(完整內容收錄!G:G,MATCH(2,查詢輔助!C:C,0))))</f>
        <v/>
      </c>
    </row>
    <row r="17" ht="12" customHeight="1"/>
    <row r="18" ht="24" customHeight="1">
      <c r="A18" s="39">
        <f>IF(A4="","",IF(MAX(查詢輔助!C:C)&lt;3,"",INDEX(完整內容收錄!B:B,MATCH(3,查詢輔助!C:C,0))&amp;"  │  券商："&amp;INDEX(完整內容收錄!E:E,MATCH(3,查詢輔助!C:C,0))&amp;"  │  "&amp;INDEX(報導總表!F:F,MATCH(3,查詢輔助!C:C,0))&amp;"  │  "&amp;INDEX(報導總表!G:G,MATCH(3,查詢輔助!C:C,0))))</f>
        <v/>
      </c>
    </row>
    <row r="19" ht="120" customHeight="1">
      <c r="A19" s="40">
        <f>IF(A4="","",IF(MAX(查詢輔助!C:C)&lt;3,"",INDEX(完整內容收錄!F:F,MATCH(3,查詢輔助!C:C,0))))</f>
        <v/>
      </c>
    </row>
    <row r="20" ht="22" customHeight="1">
      <c r="A20" s="41">
        <f>IF(A4="","",IF(MAX(查詢輔助!C:C)&lt;3,"","標籤："&amp;INDEX(完整內容收錄!G:G,MATCH(3,查詢輔助!C:C,0))))</f>
        <v/>
      </c>
    </row>
    <row r="21" ht="12" customHeight="1"/>
    <row r="22" ht="24" customHeight="1">
      <c r="A22" s="39">
        <f>IF(A4="","",IF(MAX(查詢輔助!C:C)&lt;4,"",INDEX(完整內容收錄!B:B,MATCH(4,查詢輔助!C:C,0))&amp;"  │  券商："&amp;INDEX(完整內容收錄!E:E,MATCH(4,查詢輔助!C:C,0))&amp;"  │  "&amp;INDEX(報導總表!F:F,MATCH(4,查詢輔助!C:C,0))&amp;"  │  "&amp;INDEX(報導總表!G:G,MATCH(4,查詢輔助!C:C,0))))</f>
        <v/>
      </c>
    </row>
    <row r="23" ht="120" customHeight="1">
      <c r="A23" s="40">
        <f>IF(A4="","",IF(MAX(查詢輔助!C:C)&lt;4,"",INDEX(完整內容收錄!F:F,MATCH(4,查詢輔助!C:C,0))))</f>
        <v/>
      </c>
    </row>
    <row r="24" ht="22" customHeight="1">
      <c r="A24" s="41">
        <f>IF(A4="","",IF(MAX(查詢輔助!C:C)&lt;4,"","標籤："&amp;INDEX(完整內容收錄!G:G,MATCH(4,查詢輔助!C:C,0))))</f>
        <v/>
      </c>
    </row>
    <row r="25" ht="12" customHeight="1"/>
    <row r="26" ht="24" customHeight="1">
      <c r="A26" s="39">
        <f>IF(A4="","",IF(MAX(查詢輔助!C:C)&lt;5,"",INDEX(完整內容收錄!B:B,MATCH(5,查詢輔助!C:C,0))&amp;"  │  券商："&amp;INDEX(完整內容收錄!E:E,MATCH(5,查詢輔助!C:C,0))&amp;"  │  "&amp;INDEX(報導總表!F:F,MATCH(5,查詢輔助!C:C,0))&amp;"  │  "&amp;INDEX(報導總表!G:G,MATCH(5,查詢輔助!C:C,0))))</f>
        <v/>
      </c>
    </row>
    <row r="27" ht="120" customHeight="1">
      <c r="A27" s="40">
        <f>IF(A4="","",IF(MAX(查詢輔助!C:C)&lt;5,"",INDEX(完整內容收錄!F:F,MATCH(5,查詢輔助!C:C,0))))</f>
        <v/>
      </c>
    </row>
    <row r="28" ht="22" customHeight="1">
      <c r="A28" s="41">
        <f>IF(A4="","",IF(MAX(查詢輔助!C:C)&lt;5,"","標籤："&amp;INDEX(完整內容收錄!G:G,MATCH(5,查詢輔助!C:C,0))))</f>
        <v/>
      </c>
    </row>
    <row r="29" ht="12" customHeight="1"/>
    <row r="30" ht="24" customHeight="1">
      <c r="A30" s="39">
        <f>IF(A4="","",IF(MAX(查詢輔助!C:C)&lt;6,"",INDEX(完整內容收錄!B:B,MATCH(6,查詢輔助!C:C,0))&amp;"  │  券商："&amp;INDEX(完整內容收錄!E:E,MATCH(6,查詢輔助!C:C,0))&amp;"  │  "&amp;INDEX(報導總表!F:F,MATCH(6,查詢輔助!C:C,0))&amp;"  │  "&amp;INDEX(報導總表!G:G,MATCH(6,查詢輔助!C:C,0))))</f>
        <v/>
      </c>
    </row>
    <row r="31" ht="120" customHeight="1">
      <c r="A31" s="40">
        <f>IF(A4="","",IF(MAX(查詢輔助!C:C)&lt;6,"",INDEX(完整內容收錄!F:F,MATCH(6,查詢輔助!C:C,0))))</f>
        <v/>
      </c>
    </row>
    <row r="32" ht="22" customHeight="1">
      <c r="A32" s="41">
        <f>IF(A4="","",IF(MAX(查詢輔助!C:C)&lt;6,"","標籤："&amp;INDEX(完整內容收錄!G:G,MATCH(6,查詢輔助!C:C,0))))</f>
        <v/>
      </c>
    </row>
    <row r="33" ht="12" customHeight="1"/>
    <row r="34" ht="24" customHeight="1">
      <c r="A34" s="39">
        <f>IF(A4="","",IF(MAX(查詢輔助!C:C)&lt;7,"",INDEX(完整內容收錄!B:B,MATCH(7,查詢輔助!C:C,0))&amp;"  │  券商："&amp;INDEX(完整內容收錄!E:E,MATCH(7,查詢輔助!C:C,0))&amp;"  │  "&amp;INDEX(報導總表!F:F,MATCH(7,查詢輔助!C:C,0))&amp;"  │  "&amp;INDEX(報導總表!G:G,MATCH(7,查詢輔助!C:C,0))))</f>
        <v/>
      </c>
    </row>
    <row r="35" ht="120" customHeight="1">
      <c r="A35" s="40">
        <f>IF(A4="","",IF(MAX(查詢輔助!C:C)&lt;7,"",INDEX(完整內容收錄!F:F,MATCH(7,查詢輔助!C:C,0))))</f>
        <v/>
      </c>
    </row>
    <row r="36" ht="22" customHeight="1">
      <c r="A36" s="41">
        <f>IF(A4="","",IF(MAX(查詢輔助!C:C)&lt;7,"","標籤："&amp;INDEX(完整內容收錄!G:G,MATCH(7,查詢輔助!C:C,0))))</f>
        <v/>
      </c>
    </row>
    <row r="37" ht="12" customHeight="1"/>
    <row r="38" ht="24" customHeight="1">
      <c r="A38" s="39">
        <f>IF(A4="","",IF(MAX(查詢輔助!C:C)&lt;8,"",INDEX(完整內容收錄!B:B,MATCH(8,查詢輔助!C:C,0))&amp;"  │  券商："&amp;INDEX(完整內容收錄!E:E,MATCH(8,查詢輔助!C:C,0))&amp;"  │  "&amp;INDEX(報導總表!F:F,MATCH(8,查詢輔助!C:C,0))&amp;"  │  "&amp;INDEX(報導總表!G:G,MATCH(8,查詢輔助!C:C,0))))</f>
        <v/>
      </c>
    </row>
    <row r="39" ht="120" customHeight="1">
      <c r="A39" s="40">
        <f>IF(A4="","",IF(MAX(查詢輔助!C:C)&lt;8,"",INDEX(完整內容收錄!F:F,MATCH(8,查詢輔助!C:C,0))))</f>
        <v/>
      </c>
    </row>
    <row r="40" ht="22" customHeight="1">
      <c r="A40" s="41">
        <f>IF(A4="","",IF(MAX(查詢輔助!C:C)&lt;8,"","標籤："&amp;INDEX(完整內容收錄!G:G,MATCH(8,查詢輔助!C:C,0))))</f>
        <v/>
      </c>
    </row>
    <row r="41" ht="12" customHeight="1"/>
    <row r="42" ht="24" customHeight="1">
      <c r="A42" s="39">
        <f>IF(A4="","",IF(MAX(查詢輔助!C:C)&lt;9,"",INDEX(完整內容收錄!B:B,MATCH(9,查詢輔助!C:C,0))&amp;"  │  券商："&amp;INDEX(完整內容收錄!E:E,MATCH(9,查詢輔助!C:C,0))&amp;"  │  "&amp;INDEX(報導總表!F:F,MATCH(9,查詢輔助!C:C,0))&amp;"  │  "&amp;INDEX(報導總表!G:G,MATCH(9,查詢輔助!C:C,0))))</f>
        <v/>
      </c>
    </row>
    <row r="43" ht="120" customHeight="1">
      <c r="A43" s="40">
        <f>IF(A4="","",IF(MAX(查詢輔助!C:C)&lt;9,"",INDEX(完整內容收錄!F:F,MATCH(9,查詢輔助!C:C,0))))</f>
        <v/>
      </c>
    </row>
    <row r="44" ht="22" customHeight="1">
      <c r="A44" s="41">
        <f>IF(A4="","",IF(MAX(查詢輔助!C:C)&lt;9,"","標籤："&amp;INDEX(完整內容收錄!G:G,MATCH(9,查詢輔助!C:C,0))))</f>
        <v/>
      </c>
    </row>
    <row r="45" ht="12" customHeight="1"/>
    <row r="46" ht="24" customHeight="1">
      <c r="A46" s="39">
        <f>IF(A4="","",IF(MAX(查詢輔助!C:C)&lt;10,"",INDEX(完整內容收錄!B:B,MATCH(10,查詢輔助!C:C,0))&amp;"  │  券商："&amp;INDEX(完整內容收錄!E:E,MATCH(10,查詢輔助!C:C,0))&amp;"  │  "&amp;INDEX(報導總表!F:F,MATCH(10,查詢輔助!C:C,0))&amp;"  │  "&amp;INDEX(報導總表!G:G,MATCH(10,查詢輔助!C:C,0))))</f>
        <v/>
      </c>
    </row>
    <row r="47" ht="120" customHeight="1">
      <c r="A47" s="40">
        <f>IF(A4="","",IF(MAX(查詢輔助!C:C)&lt;10,"",INDEX(完整內容收錄!F:F,MATCH(10,查詢輔助!C:C,0))))</f>
        <v/>
      </c>
    </row>
    <row r="48" ht="22" customHeight="1">
      <c r="A48" s="41">
        <f>IF(A4="","",IF(MAX(查詢輔助!C:C)&lt;10,"","標籤："&amp;INDEX(完整內容收錄!G:G,MATCH(10,查詢輔助!C:C,0))))</f>
        <v/>
      </c>
    </row>
    <row r="49" ht="12" customHeight="1"/>
    <row r="50" ht="20" customHeight="1">
      <c r="A50" s="37" t="inlineStr">
        <is>
          <t>※ 本系統使用傳統Excel公式，相容所有Excel版本（最多顯示10筆報導）</t>
        </is>
      </c>
    </row>
  </sheetData>
  <printOptions horizontalCentered="1"/>
  <pageMargins left="0.75" right="0.75" top="1" bottom="1" header="0.5" footer="0.5"/>
  <pageSetup orientation="portrait" paperSize="9" fitToWidth="1"/>
</worksheet>
</file>

<file path=xl/worksheets/sheet2.xml><?xml version="1.0" encoding="utf-8"?>
<worksheet xmlns="http://schemas.openxmlformats.org/spreadsheetml/2006/main">
  <sheetPr>
    <outlinePr summaryBelow="1" summaryRight="1"/>
    <pageSetUpPr/>
  </sheetPr>
  <dimension ref="A1:H36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5" customWidth="1" min="3" max="3"/>
    <col width="10" customWidth="1" min="4" max="4"/>
    <col width="15" customWidth="1" min="5" max="5"/>
    <col width="18" customWidth="1" min="6" max="6"/>
    <col width="12" customWidth="1" min="7" max="7"/>
    <col width="35" customWidth="1" min="8" max="8"/>
  </cols>
  <sheetData>
    <row r="1" ht="30" customHeight="1">
      <c r="A1" s="1" t="inlineStr">
        <is>
          <t>編號</t>
        </is>
      </c>
      <c r="B1" s="1" t="inlineStr">
        <is>
          <t>日期</t>
        </is>
      </c>
      <c r="C1" s="1" t="inlineStr">
        <is>
          <t>公司</t>
        </is>
      </c>
      <c r="D1" s="1" t="inlineStr">
        <is>
          <t>股號</t>
        </is>
      </c>
      <c r="E1" s="1" t="inlineStr">
        <is>
          <t>券商來源</t>
        </is>
      </c>
      <c r="F1" s="1" t="inlineStr">
        <is>
          <t>報導重點分類</t>
        </is>
      </c>
      <c r="G1" s="1" t="inlineStr">
        <is>
          <t>重要性</t>
        </is>
      </c>
      <c r="H1" s="1" t="inlineStr">
        <is>
          <t>標籤</t>
        </is>
      </c>
    </row>
    <row r="2">
      <c r="A2" s="2" t="inlineStr">
        <is>
          <t>001</t>
        </is>
      </c>
      <c r="B2" s="2" t="inlineStr">
        <is>
          <t>2025/11/10</t>
        </is>
      </c>
      <c r="C2" s="2" t="inlineStr">
        <is>
          <t>群聯</t>
        </is>
      </c>
      <c r="D2" s="44" t="n">
        <v>8299</v>
      </c>
      <c r="E2" s="2" t="inlineStr">
        <is>
          <t>美系大行</t>
        </is>
      </c>
      <c r="F2" s="2" t="inlineStr">
        <is>
          <t>營運展望</t>
        </is>
      </c>
      <c r="G2" s="2" t="inlineStr">
        <is>
          <t>⭐⭐⭐⭐</t>
        </is>
      </c>
      <c r="H2" s="3" t="inlineStr">
        <is>
          <t>#NAND #SSD #企業級</t>
        </is>
      </c>
    </row>
    <row r="3">
      <c r="A3" s="2" t="inlineStr">
        <is>
          <t>002</t>
        </is>
      </c>
      <c r="B3" s="2" t="inlineStr">
        <is>
          <t>2025/11/10</t>
        </is>
      </c>
      <c r="C3" s="2" t="inlineStr">
        <is>
          <t>GB200趨勢</t>
        </is>
      </c>
      <c r="D3" s="2" t="inlineStr">
        <is>
          <t>-</t>
        </is>
      </c>
      <c r="E3" s="2" t="inlineStr">
        <is>
          <t>美系大行</t>
        </is>
      </c>
      <c r="F3" s="2" t="inlineStr">
        <is>
          <t>產業趨勢</t>
        </is>
      </c>
      <c r="G3" s="2" t="inlineStr">
        <is>
          <t>⭐⭐⭐⭐⭐</t>
        </is>
      </c>
      <c r="H3" s="3" t="inlineStr">
        <is>
          <t>#GB200 #NVL72 #GB300</t>
        </is>
      </c>
    </row>
    <row r="4">
      <c r="A4" s="2" t="inlineStr">
        <is>
          <t>003</t>
        </is>
      </c>
      <c r="B4" s="2" t="inlineStr">
        <is>
          <t>2025/11/10</t>
        </is>
      </c>
      <c r="C4" s="2" t="inlineStr">
        <is>
          <t>緯穎</t>
        </is>
      </c>
      <c r="D4" s="44" t="n">
        <v>6669</v>
      </c>
      <c r="E4" s="2" t="inlineStr">
        <is>
          <t>澳系券商</t>
        </is>
      </c>
      <c r="F4" s="2" t="inlineStr">
        <is>
          <t>EPS上修</t>
        </is>
      </c>
      <c r="G4" s="2" t="inlineStr">
        <is>
          <t>⭐⭐⭐⭐⭐</t>
        </is>
      </c>
      <c r="H4" s="3" t="inlineStr">
        <is>
          <t>#AI伺服器 #ECB #AWS</t>
        </is>
      </c>
    </row>
    <row r="5">
      <c r="A5" s="2" t="inlineStr">
        <is>
          <t>004</t>
        </is>
      </c>
      <c r="B5" s="2" t="inlineStr">
        <is>
          <t>2025/11/10</t>
        </is>
      </c>
      <c r="C5" s="2" t="inlineStr">
        <is>
          <t>緯穎</t>
        </is>
      </c>
      <c r="D5" s="44" t="n">
        <v>6669</v>
      </c>
      <c r="E5" s="2" t="inlineStr">
        <is>
          <t>亞系</t>
        </is>
      </c>
      <c r="F5" s="2" t="inlineStr">
        <is>
          <t>市佔觀察</t>
        </is>
      </c>
      <c r="G5" s="2" t="inlineStr">
        <is>
          <t>⭐⭐⭐⭐</t>
        </is>
      </c>
      <c r="H5" s="3" t="inlineStr">
        <is>
          <t>#ASIC #L10 #L11</t>
        </is>
      </c>
    </row>
    <row r="6">
      <c r="A6" s="2" t="inlineStr">
        <is>
          <t>005</t>
        </is>
      </c>
      <c r="B6" s="2" t="inlineStr">
        <is>
          <t>2025/11/10</t>
        </is>
      </c>
      <c r="C6" s="2" t="inlineStr">
        <is>
          <t>京元電</t>
        </is>
      </c>
      <c r="D6" s="44" t="n">
        <v>2449</v>
      </c>
      <c r="E6" s="2" t="inlineStr">
        <is>
          <t>美系券商</t>
        </is>
      </c>
      <c r="F6" s="2" t="inlineStr">
        <is>
          <t>EPS上修</t>
        </is>
      </c>
      <c r="G6" s="2" t="inlineStr">
        <is>
          <t>⭐⭐⭐⭐⭐</t>
        </is>
      </c>
      <c r="H6" s="3" t="inlineStr">
        <is>
          <t>#GPU #ASIC #測試</t>
        </is>
      </c>
    </row>
    <row r="7">
      <c r="A7" s="2" t="inlineStr">
        <is>
          <t>006</t>
        </is>
      </c>
      <c r="B7" s="2" t="inlineStr">
        <is>
          <t>2025/11/10</t>
        </is>
      </c>
      <c r="C7" s="2" t="inlineStr">
        <is>
          <t>勤誠</t>
        </is>
      </c>
      <c r="D7" s="44" t="n">
        <v>8210</v>
      </c>
      <c r="E7" s="2" t="inlineStr">
        <is>
          <t>美系券商</t>
        </is>
      </c>
      <c r="F7" s="2" t="inlineStr">
        <is>
          <t>EPS上修</t>
        </is>
      </c>
      <c r="G7" s="2" t="inlineStr">
        <is>
          <t>⭐⭐⭐⭐</t>
        </is>
      </c>
      <c r="H7" s="3" t="inlineStr">
        <is>
          <t>#機殼機櫃 #AI伺服器</t>
        </is>
      </c>
    </row>
    <row r="8">
      <c r="A8" s="2" t="inlineStr">
        <is>
          <t>007</t>
        </is>
      </c>
      <c r="B8" s="2" t="inlineStr">
        <is>
          <t>2025/11/10</t>
        </is>
      </c>
      <c r="C8" s="2" t="inlineStr">
        <is>
          <t>貿聯</t>
        </is>
      </c>
      <c r="D8" s="44" t="n">
        <v>3665</v>
      </c>
      <c r="E8" s="2" t="inlineStr">
        <is>
          <t>美系券商</t>
        </is>
      </c>
      <c r="F8" s="2" t="inlineStr">
        <is>
          <t>EPS上修</t>
        </is>
      </c>
      <c r="G8" s="2" t="inlineStr">
        <is>
          <t>⭐⭐⭐⭐</t>
        </is>
      </c>
      <c r="H8" s="3" t="inlineStr">
        <is>
          <t>#AEC #機櫃連接</t>
        </is>
      </c>
    </row>
    <row r="9">
      <c r="A9" s="2" t="inlineStr">
        <is>
          <t>008</t>
        </is>
      </c>
      <c r="B9" s="2" t="inlineStr">
        <is>
          <t>2025/11/10</t>
        </is>
      </c>
      <c r="C9" s="2" t="inlineStr">
        <is>
          <t>奇鋐</t>
        </is>
      </c>
      <c r="D9" s="44" t="n">
        <v>3017</v>
      </c>
      <c r="E9" s="2" t="inlineStr">
        <is>
          <t>美系大行</t>
        </is>
      </c>
      <c r="F9" s="2" t="inlineStr">
        <is>
          <t>營運展望</t>
        </is>
      </c>
      <c r="G9" s="2" t="inlineStr">
        <is>
          <t>⭐⭐⭐</t>
        </is>
      </c>
      <c r="H9" s="3" t="inlineStr">
        <is>
          <t>#散熱 #法說會1112</t>
        </is>
      </c>
    </row>
    <row r="10">
      <c r="A10" s="2" t="inlineStr">
        <is>
          <t>009</t>
        </is>
      </c>
      <c r="B10" s="2" t="inlineStr">
        <is>
          <t>2025/11/07</t>
        </is>
      </c>
      <c r="C10" s="2" t="inlineStr">
        <is>
          <t>創意</t>
        </is>
      </c>
      <c r="D10" s="44" t="n">
        <v>3443</v>
      </c>
      <c r="E10" s="2" t="inlineStr">
        <is>
          <t>美系大行</t>
        </is>
      </c>
      <c r="F10" s="2" t="inlineStr">
        <is>
          <t>EPS上修</t>
        </is>
      </c>
      <c r="G10" s="2" t="inlineStr">
        <is>
          <t>⭐⭐⭐⭐⭐</t>
        </is>
      </c>
      <c r="H10" s="3" t="inlineStr">
        <is>
          <t>#CoWoS #Google #TPU</t>
        </is>
      </c>
    </row>
    <row r="11">
      <c r="A11" s="2" t="inlineStr">
        <is>
          <t>010</t>
        </is>
      </c>
      <c r="B11" s="2" t="inlineStr">
        <is>
          <t>2025/11/07</t>
        </is>
      </c>
      <c r="C11" s="2" t="inlineStr">
        <is>
          <t>建準</t>
        </is>
      </c>
      <c r="D11" s="44" t="n">
        <v>2421</v>
      </c>
      <c r="E11" s="2" t="inlineStr">
        <is>
          <t>美系大行</t>
        </is>
      </c>
      <c r="F11" s="2" t="inlineStr">
        <is>
          <t>營運展望</t>
        </is>
      </c>
      <c r="G11" s="2" t="inlineStr">
        <is>
          <t>⭐⭐⭐⭐</t>
        </is>
      </c>
      <c r="H11" s="3" t="inlineStr">
        <is>
          <t>#散熱 #風扇 #CDU</t>
        </is>
      </c>
    </row>
    <row r="12">
      <c r="A12" s="2" t="inlineStr">
        <is>
          <t>011</t>
        </is>
      </c>
      <c r="B12" s="2" t="inlineStr">
        <is>
          <t>2025/11/07</t>
        </is>
      </c>
      <c r="C12" s="2" t="inlineStr">
        <is>
          <t>南電</t>
        </is>
      </c>
      <c r="D12" s="44" t="n">
        <v>8046</v>
      </c>
      <c r="E12" s="2" t="inlineStr">
        <is>
          <t>美系券商</t>
        </is>
      </c>
      <c r="F12" s="2" t="inlineStr">
        <is>
          <t>營運展望</t>
        </is>
      </c>
      <c r="G12" s="2" t="inlineStr">
        <is>
          <t>⭐⭐⭐⭐⭐</t>
        </is>
      </c>
      <c r="H12" s="3" t="inlineStr">
        <is>
          <t>#ABF #BT #ASIC</t>
        </is>
      </c>
    </row>
    <row r="13">
      <c r="A13" s="2" t="inlineStr">
        <is>
          <t>012</t>
        </is>
      </c>
      <c r="B13" s="2" t="inlineStr">
        <is>
          <t>2025/11/07</t>
        </is>
      </c>
      <c r="C13" s="2" t="inlineStr">
        <is>
          <t>致茂</t>
        </is>
      </c>
      <c r="D13" s="44" t="n">
        <v>2360</v>
      </c>
      <c r="E13" s="2" t="inlineStr">
        <is>
          <t>美系大行</t>
        </is>
      </c>
      <c r="F13" s="2" t="inlineStr">
        <is>
          <t>營運展望</t>
        </is>
      </c>
      <c r="G13" s="2" t="inlineStr">
        <is>
          <t>⭐⭐⭐</t>
        </is>
      </c>
      <c r="H13" s="3" t="inlineStr">
        <is>
          <t>#測試設備</t>
        </is>
      </c>
    </row>
    <row r="14">
      <c r="A14" s="2" t="inlineStr">
        <is>
          <t>013</t>
        </is>
      </c>
      <c r="B14" s="2" t="inlineStr">
        <is>
          <t>2025/11/05</t>
        </is>
      </c>
      <c r="C14" s="2" t="inlineStr">
        <is>
          <t>奇鋐</t>
        </is>
      </c>
      <c r="D14" s="44" t="n">
        <v>3017</v>
      </c>
      <c r="E14" s="2" t="inlineStr">
        <is>
          <t>澳系券商</t>
        </is>
      </c>
      <c r="F14" s="2" t="inlineStr">
        <is>
          <t>EPS上修</t>
        </is>
      </c>
      <c r="G14" s="2" t="inlineStr">
        <is>
          <t>⭐⭐⭐⭐⭐</t>
        </is>
      </c>
      <c r="H14" s="3" t="inlineStr">
        <is>
          <t>#水冷 #機殼 #VC</t>
        </is>
      </c>
    </row>
    <row r="15">
      <c r="A15" s="2" t="inlineStr">
        <is>
          <t>014</t>
        </is>
      </c>
      <c r="B15" s="2" t="inlineStr">
        <is>
          <t>2025/11/05</t>
        </is>
      </c>
      <c r="C15" s="2" t="inlineStr">
        <is>
          <t>富世達</t>
        </is>
      </c>
      <c r="D15" s="44" t="n">
        <v>6805</v>
      </c>
      <c r="E15" s="2" t="inlineStr">
        <is>
          <t>美系券商、亞系券商</t>
        </is>
      </c>
      <c r="F15" s="2" t="inlineStr">
        <is>
          <t>EPS上修</t>
        </is>
      </c>
      <c r="G15" s="2" t="inlineStr">
        <is>
          <t>⭐⭐⭐⭐</t>
        </is>
      </c>
      <c r="H15" s="3" t="inlineStr">
        <is>
          <t>#QD #水冷 #GB300</t>
        </is>
      </c>
    </row>
    <row r="16">
      <c r="A16" s="2" t="inlineStr">
        <is>
          <t>015</t>
        </is>
      </c>
      <c r="B16" s="2" t="inlineStr">
        <is>
          <t>2025/11/05</t>
        </is>
      </c>
      <c r="C16" s="2" t="inlineStr">
        <is>
          <t>勤誠</t>
        </is>
      </c>
      <c r="D16" s="44" t="n">
        <v>8210</v>
      </c>
      <c r="E16" s="2" t="inlineStr">
        <is>
          <t>美系大行</t>
        </is>
      </c>
      <c r="F16" s="2" t="inlineStr">
        <is>
          <t>EPS上修</t>
        </is>
      </c>
      <c r="G16" s="2" t="inlineStr">
        <is>
          <t>⭐⭐⭐⭐⭐</t>
        </is>
      </c>
      <c r="H16" s="3" t="inlineStr">
        <is>
          <t>#機殼 #機櫃 #AMD</t>
        </is>
      </c>
    </row>
    <row r="17">
      <c r="A17" s="2" t="inlineStr">
        <is>
          <t>016</t>
        </is>
      </c>
      <c r="B17" s="2" t="inlineStr">
        <is>
          <t>2025/11/05</t>
        </is>
      </c>
      <c r="C17" s="2" t="inlineStr">
        <is>
          <t>環球晶</t>
        </is>
      </c>
      <c r="D17" s="44" t="n">
        <v>6488</v>
      </c>
      <c r="E17" s="2" t="inlineStr">
        <is>
          <t>美系券商</t>
        </is>
      </c>
      <c r="F17" s="2" t="inlineStr">
        <is>
          <t>EPS上修</t>
        </is>
      </c>
      <c r="G17" s="2" t="inlineStr">
        <is>
          <t>⭐⭐⭐⭐</t>
        </is>
      </c>
      <c r="H17" s="3" t="inlineStr">
        <is>
          <t>#晶圓 #SiC #記憶體</t>
        </is>
      </c>
    </row>
    <row r="18">
      <c r="A18" s="2" t="inlineStr">
        <is>
          <t>017</t>
        </is>
      </c>
      <c r="B18" s="2" t="inlineStr">
        <is>
          <t>2025/11/05</t>
        </is>
      </c>
      <c r="C18" s="2" t="inlineStr">
        <is>
          <t>愛普</t>
        </is>
      </c>
      <c r="D18" s="44" t="n">
        <v>6531</v>
      </c>
      <c r="E18" s="2" t="inlineStr">
        <is>
          <t>美系大行</t>
        </is>
      </c>
      <c r="F18" s="2" t="inlineStr">
        <is>
          <t>營運展望</t>
        </is>
      </c>
      <c r="G18" s="2" t="inlineStr">
        <is>
          <t>⭐⭐⭐⭐</t>
        </is>
      </c>
      <c r="H18" s="3" t="inlineStr">
        <is>
          <t>#S-SiCap #interposer #DDR3</t>
        </is>
      </c>
    </row>
    <row r="19">
      <c r="A19" s="2" t="inlineStr">
        <is>
          <t>018</t>
        </is>
      </c>
      <c r="B19" s="2" t="inlineStr">
        <is>
          <t>2025/11/05</t>
        </is>
      </c>
      <c r="C19" s="2" t="inlineStr">
        <is>
          <t>世界</t>
        </is>
      </c>
      <c r="D19" s="44" t="n">
        <v>5347</v>
      </c>
      <c r="E19" s="2" t="inlineStr">
        <is>
          <t>美系大行</t>
        </is>
      </c>
      <c r="F19" s="2" t="inlineStr">
        <is>
          <t>維持中性</t>
        </is>
      </c>
      <c r="G19" s="2" t="inlineStr">
        <is>
          <t>⭐⭐⭐</t>
        </is>
      </c>
      <c r="H19" s="3" t="inlineStr">
        <is>
          <t>#晶圓代工 #折舊</t>
        </is>
      </c>
    </row>
    <row r="20">
      <c r="A20" s="2" t="inlineStr">
        <is>
          <t>019</t>
        </is>
      </c>
      <c r="B20" s="2" t="inlineStr">
        <is>
          <t>2025/11/05</t>
        </is>
      </c>
      <c r="C20" s="2" t="inlineStr">
        <is>
          <t>聯詠</t>
        </is>
      </c>
      <c r="D20" s="44" t="n">
        <v>3034</v>
      </c>
      <c r="E20" s="2" t="inlineStr">
        <is>
          <t>亞系券商</t>
        </is>
      </c>
      <c r="F20" s="2" t="inlineStr">
        <is>
          <t>降評</t>
        </is>
      </c>
      <c r="G20" s="2" t="inlineStr">
        <is>
          <t>⭐⭐</t>
        </is>
      </c>
      <c r="H20" s="3" t="inlineStr">
        <is>
          <t>#IC設計 #電視</t>
        </is>
      </c>
    </row>
    <row r="21">
      <c r="A21" s="2" t="inlineStr">
        <is>
          <t>020</t>
        </is>
      </c>
      <c r="B21" s="2" t="inlineStr"/>
      <c r="C21" s="2" t="inlineStr">
        <is>
          <t>SK海力士
三星電子</t>
        </is>
      </c>
      <c r="D21" s="2" t="inlineStr"/>
      <c r="E21" s="2" t="inlineStr">
        <is>
          <t>瑞銀</t>
        </is>
      </c>
      <c r="F21" s="2" t="inlineStr">
        <is>
          <t>目標價上調</t>
        </is>
      </c>
      <c r="G21" s="2" t="inlineStr">
        <is>
          <t>⭐⭐⭐⭐⭐</t>
        </is>
      </c>
      <c r="H21" s="3" t="inlineStr">
        <is>
          <t>#DRAM #DDR #HBM #記憶體</t>
        </is>
      </c>
    </row>
    <row r="22">
      <c r="A22" s="2" t="inlineStr">
        <is>
          <t>021</t>
        </is>
      </c>
      <c r="B22" s="2" t="inlineStr">
        <is>
          <t>2025/10/28</t>
        </is>
      </c>
      <c r="C22" s="2" t="inlineStr">
        <is>
          <t>貿聯</t>
        </is>
      </c>
      <c r="D22" s="44" t="n">
        <v>3665</v>
      </c>
      <c r="E22" s="2" t="inlineStr">
        <is>
          <t>美系大行</t>
        </is>
      </c>
      <c r="F22" s="2" t="inlineStr">
        <is>
          <t>EPS上修</t>
        </is>
      </c>
      <c r="G22" s="2" t="inlineStr">
        <is>
          <t>⭐⭐⭐⭐⭐</t>
        </is>
      </c>
      <c r="H22" s="3" t="inlineStr">
        <is>
          <t>#AEC #電源互連 #GPU</t>
        </is>
      </c>
    </row>
    <row r="23">
      <c r="A23" s="2" t="inlineStr">
        <is>
          <t>022</t>
        </is>
      </c>
      <c r="B23" s="2" t="inlineStr">
        <is>
          <t>2025/10/28</t>
        </is>
      </c>
      <c r="C23" s="2" t="inlineStr">
        <is>
          <t>奇鋐</t>
        </is>
      </c>
      <c r="D23" s="44" t="n">
        <v>3017</v>
      </c>
      <c r="E23" s="2" t="inlineStr">
        <is>
          <t>亞系券商</t>
        </is>
      </c>
      <c r="F23" s="2" t="inlineStr">
        <is>
          <t>EPS上修</t>
        </is>
      </c>
      <c r="G23" s="2" t="inlineStr">
        <is>
          <t>⭐⭐⭐⭐⭐</t>
        </is>
      </c>
      <c r="H23" s="3" t="inlineStr">
        <is>
          <t>#水冷 #ASIC #GPU</t>
        </is>
      </c>
    </row>
    <row r="24">
      <c r="A24" s="2" t="inlineStr">
        <is>
          <t>023</t>
        </is>
      </c>
      <c r="B24" s="2" t="inlineStr">
        <is>
          <t>2025/10/28</t>
        </is>
      </c>
      <c r="C24" s="2" t="inlineStr">
        <is>
          <t>景碩</t>
        </is>
      </c>
      <c r="D24" s="44" t="n">
        <v>3189</v>
      </c>
      <c r="E24" s="2" t="inlineStr">
        <is>
          <t>美系券商</t>
        </is>
      </c>
      <c r="F24" s="2" t="inlineStr">
        <is>
          <t>營運展望</t>
        </is>
      </c>
      <c r="G24" s="2" t="inlineStr">
        <is>
          <t>⭐⭐⭐⭐</t>
        </is>
      </c>
      <c r="H24" s="3" t="inlineStr">
        <is>
          <t>#BT #ABF #現增</t>
        </is>
      </c>
    </row>
    <row r="25">
      <c r="A25" s="2" t="inlineStr">
        <is>
          <t>024</t>
        </is>
      </c>
      <c r="B25" s="2" t="inlineStr">
        <is>
          <t>2025/10/29</t>
        </is>
      </c>
      <c r="C25" s="2" t="inlineStr">
        <is>
          <t>國巨</t>
        </is>
      </c>
      <c r="D25" s="44" t="n">
        <v>2327</v>
      </c>
      <c r="E25" s="2" t="inlineStr">
        <is>
          <t>美系大行</t>
        </is>
      </c>
      <c r="F25" s="2" t="inlineStr">
        <is>
          <t>升評升目標</t>
        </is>
      </c>
      <c r="G25" s="2" t="inlineStr">
        <is>
          <t>⭐⭐⭐⭐⭐</t>
        </is>
      </c>
      <c r="H25" s="3" t="inlineStr">
        <is>
          <t>#被動元件 #鉭電容</t>
        </is>
      </c>
    </row>
    <row r="26">
      <c r="A26" s="2" t="inlineStr">
        <is>
          <t>025</t>
        </is>
      </c>
      <c r="B26" s="2" t="inlineStr">
        <is>
          <t>2025/10/29</t>
        </is>
      </c>
      <c r="C26" s="2" t="inlineStr">
        <is>
          <t>京元電
日月光</t>
        </is>
      </c>
      <c r="D26" s="2" t="inlineStr">
        <is>
          <t>2449
3711</t>
        </is>
      </c>
      <c r="E26" s="2" t="inlineStr">
        <is>
          <t>美系大行</t>
        </is>
      </c>
      <c r="F26" s="2" t="inlineStr">
        <is>
          <t>EPS上修</t>
        </is>
      </c>
      <c r="G26" s="2" t="inlineStr">
        <is>
          <t>⭐⭐⭐⭐⭐</t>
        </is>
      </c>
      <c r="H26" s="3" t="inlineStr">
        <is>
          <t>#封測 #漲價 #AI</t>
        </is>
      </c>
    </row>
    <row r="27">
      <c r="A27" s="2" t="inlineStr">
        <is>
          <t>026</t>
        </is>
      </c>
      <c r="B27" s="2" t="inlineStr">
        <is>
          <t>2025/10/29</t>
        </is>
      </c>
      <c r="C27" s="2" t="inlineStr">
        <is>
          <t>聯發科</t>
        </is>
      </c>
      <c r="D27" s="44" t="n">
        <v>2454</v>
      </c>
      <c r="E27" s="2" t="inlineStr">
        <is>
          <t>美系大行</t>
        </is>
      </c>
      <c r="F27" s="2" t="inlineStr">
        <is>
          <t>降目標</t>
        </is>
      </c>
      <c r="G27" s="2" t="inlineStr">
        <is>
          <t>⭐⭐⭐</t>
        </is>
      </c>
      <c r="H27" s="3" t="inlineStr">
        <is>
          <t>#天璣 #成本上升</t>
        </is>
      </c>
    </row>
    <row r="28">
      <c r="A28" s="2" t="inlineStr">
        <is>
          <t>027</t>
        </is>
      </c>
      <c r="B28" s="2" t="inlineStr">
        <is>
          <t>2025/10/29</t>
        </is>
      </c>
      <c r="C28" s="2" t="inlineStr">
        <is>
          <t>致茂</t>
        </is>
      </c>
      <c r="D28" s="44" t="n">
        <v>2360</v>
      </c>
      <c r="E28" s="2" t="inlineStr">
        <is>
          <t>美系大行</t>
        </is>
      </c>
      <c r="F28" s="2" t="inlineStr">
        <is>
          <t>EPS上修</t>
        </is>
      </c>
      <c r="G28" s="2" t="inlineStr">
        <is>
          <t>⭐⭐⭐⭐</t>
        </is>
      </c>
      <c r="H28" s="3" t="inlineStr">
        <is>
          <t>#測試設備 #PSU #BBU</t>
        </is>
      </c>
    </row>
    <row r="29">
      <c r="A29" s="2" t="inlineStr">
        <is>
          <t>028</t>
        </is>
      </c>
      <c r="B29" s="2" t="inlineStr">
        <is>
          <t>2025/10/29</t>
        </is>
      </c>
      <c r="C29" s="2" t="inlineStr">
        <is>
          <t>欣興</t>
        </is>
      </c>
      <c r="D29" s="44" t="n">
        <v>3037</v>
      </c>
      <c r="E29" s="2" t="inlineStr">
        <is>
          <t>美系券商</t>
        </is>
      </c>
      <c r="F29" s="2" t="inlineStr">
        <is>
          <t>營運展望</t>
        </is>
      </c>
      <c r="G29" s="2" t="inlineStr">
        <is>
          <t>⭐⭐⭐⭐</t>
        </is>
      </c>
      <c r="H29" s="3" t="inlineStr">
        <is>
          <t>#ABF #BT #CPO</t>
        </is>
      </c>
    </row>
    <row r="30">
      <c r="A30" s="2" t="inlineStr">
        <is>
          <t>029</t>
        </is>
      </c>
      <c r="B30" s="2" t="inlineStr">
        <is>
          <t>2025/11/06</t>
        </is>
      </c>
      <c r="C30" s="2" t="inlineStr">
        <is>
          <t>華邦電</t>
        </is>
      </c>
      <c r="D30" s="44" t="n">
        <v>2344</v>
      </c>
      <c r="E30" s="2" t="inlineStr">
        <is>
          <t>美系大行</t>
        </is>
      </c>
      <c r="F30" s="2" t="inlineStr">
        <is>
          <t>EPS上修</t>
        </is>
      </c>
      <c r="G30" s="2" t="inlineStr">
        <is>
          <t>⭐⭐⭐⭐⭐</t>
        </is>
      </c>
      <c r="H30" s="3" t="inlineStr">
        <is>
          <t>#DDR #NOR #CUBE</t>
        </is>
      </c>
    </row>
    <row r="31">
      <c r="A31" s="2" t="inlineStr">
        <is>
          <t>030</t>
        </is>
      </c>
      <c r="B31" s="2" t="inlineStr">
        <is>
          <t>2025/11/06</t>
        </is>
      </c>
      <c r="C31" s="2" t="inlineStr">
        <is>
          <t>金像電</t>
        </is>
      </c>
      <c r="D31" s="44" t="n">
        <v>2368</v>
      </c>
      <c r="E31" s="2" t="inlineStr">
        <is>
          <t>亞系券商</t>
        </is>
      </c>
      <c r="F31" s="2" t="inlineStr">
        <is>
          <t>EPS上修</t>
        </is>
      </c>
      <c r="G31" s="2" t="inlineStr">
        <is>
          <t>⭐⭐⭐⭐</t>
        </is>
      </c>
      <c r="H31" s="3" t="inlineStr">
        <is>
          <t>#AI PCB #800G #MSCI</t>
        </is>
      </c>
    </row>
    <row r="32">
      <c r="A32" s="2" t="inlineStr">
        <is>
          <t>031</t>
        </is>
      </c>
      <c r="B32" s="2" t="inlineStr">
        <is>
          <t>2025/11/06</t>
        </is>
      </c>
      <c r="C32" s="2" t="inlineStr">
        <is>
          <t>東元</t>
        </is>
      </c>
      <c r="D32" s="44" t="n">
        <v>1504</v>
      </c>
      <c r="E32" s="2" t="inlineStr">
        <is>
          <t>美系券商</t>
        </is>
      </c>
      <c r="F32" s="2" t="inlineStr">
        <is>
          <t>EPS上修</t>
        </is>
      </c>
      <c r="G32" s="2" t="inlineStr">
        <is>
          <t>⭐⭐⭐⭐</t>
        </is>
      </c>
      <c r="H32" s="3" t="inlineStr">
        <is>
          <t>#馬達 #資料中心 #MSCI</t>
        </is>
      </c>
    </row>
    <row r="33">
      <c r="A33" s="2" t="inlineStr">
        <is>
          <t>032</t>
        </is>
      </c>
      <c r="B33" s="2" t="inlineStr">
        <is>
          <t>2025/11/06</t>
        </is>
      </c>
      <c r="C33" s="2" t="inlineStr">
        <is>
          <t>貿聯</t>
        </is>
      </c>
      <c r="D33" s="44" t="n">
        <v>3665</v>
      </c>
      <c r="E33" s="2" t="inlineStr">
        <is>
          <t>美系大行</t>
        </is>
      </c>
      <c r="F33" s="2" t="inlineStr">
        <is>
          <t>營運展望</t>
        </is>
      </c>
      <c r="G33" s="2" t="inlineStr">
        <is>
          <t>⭐⭐⭐⭐</t>
        </is>
      </c>
      <c r="H33" s="3" t="inlineStr">
        <is>
          <t>#AEC #HPC #MSCI</t>
        </is>
      </c>
    </row>
    <row r="34">
      <c r="A34" s="2" t="inlineStr">
        <is>
          <t>033</t>
        </is>
      </c>
      <c r="B34" s="2" t="inlineStr">
        <is>
          <t>2025/11/06</t>
        </is>
      </c>
      <c r="C34" s="2" t="inlineStr">
        <is>
          <t>鴻海</t>
        </is>
      </c>
      <c r="D34" s="44" t="n">
        <v>2317</v>
      </c>
      <c r="E34" s="2" t="inlineStr">
        <is>
          <t>美系大行</t>
        </is>
      </c>
      <c r="F34" s="2" t="inlineStr">
        <is>
          <t>營運展望</t>
        </is>
      </c>
      <c r="G34" s="2" t="inlineStr">
        <is>
          <t>⭐⭐⭐⭐</t>
        </is>
      </c>
      <c r="H34" s="3" t="inlineStr">
        <is>
          <t>#10月營收新高 #伺服器</t>
        </is>
      </c>
    </row>
    <row r="35">
      <c r="A35" s="2" t="inlineStr">
        <is>
          <t>034</t>
        </is>
      </c>
      <c r="B35" s="2" t="inlineStr">
        <is>
          <t>2025/11/06</t>
        </is>
      </c>
      <c r="C35" s="2" t="inlineStr">
        <is>
          <t>南電</t>
        </is>
      </c>
      <c r="D35" s="44" t="n">
        <v>8046</v>
      </c>
      <c r="E35" s="2" t="inlineStr">
        <is>
          <t>美系券商</t>
        </is>
      </c>
      <c r="F35" s="2" t="inlineStr">
        <is>
          <t>營運展望</t>
        </is>
      </c>
      <c r="G35" s="2" t="inlineStr">
        <is>
          <t>⭐⭐⭐⭐⭐</t>
        </is>
      </c>
      <c r="H35" s="3" t="inlineStr">
        <is>
          <t>#ABF #BT #漲價</t>
        </is>
      </c>
    </row>
    <row r="36">
      <c r="A36" s="2" t="inlineStr">
        <is>
          <t>035</t>
        </is>
      </c>
      <c r="B36" s="2" t="inlineStr">
        <is>
          <t>2025/11/03</t>
        </is>
      </c>
      <c r="C36" s="2" t="inlineStr">
        <is>
          <t>聯發科</t>
        </is>
      </c>
      <c r="D36" s="44" t="n">
        <v>2454</v>
      </c>
      <c r="E36" s="2" t="inlineStr">
        <is>
          <t>美系券商</t>
        </is>
      </c>
      <c r="F36" s="2" t="inlineStr">
        <is>
          <t>降評</t>
        </is>
      </c>
      <c r="G36" s="2" t="inlineStr">
        <is>
          <t>⭐⭐⭐</t>
        </is>
      </c>
      <c r="H36" s="3" t="inlineStr">
        <is>
          <t>#毛利率下降 #ASIC</t>
        </is>
      </c>
    </row>
    <row r="37">
      <c r="A37" s="2" t="inlineStr">
        <is>
          <t>036</t>
        </is>
      </c>
      <c r="B37" s="2" t="inlineStr">
        <is>
          <t>2025/11/03</t>
        </is>
      </c>
      <c r="C37" s="2" t="inlineStr">
        <is>
          <t>散熱產業</t>
        </is>
      </c>
      <c r="D37" s="2" t="inlineStr">
        <is>
          <t>3017
6805
3324
2421</t>
        </is>
      </c>
      <c r="E37" s="2" t="inlineStr">
        <is>
          <t>美系大行</t>
        </is>
      </c>
      <c r="F37" s="2" t="inlineStr">
        <is>
          <t>EPS上修</t>
        </is>
      </c>
      <c r="G37" s="2" t="inlineStr">
        <is>
          <t>⭐⭐⭐⭐⭐</t>
        </is>
      </c>
      <c r="H37" s="3" t="inlineStr">
        <is>
          <t>#GB300 #水冷 #散熱</t>
        </is>
      </c>
    </row>
    <row r="38">
      <c r="A38" s="2" t="inlineStr">
        <is>
          <t>037</t>
        </is>
      </c>
      <c r="B38" s="2" t="inlineStr">
        <is>
          <t>2025/11/03</t>
        </is>
      </c>
      <c r="C38" s="2" t="inlineStr">
        <is>
          <t>國巨</t>
        </is>
      </c>
      <c r="D38" s="44" t="n">
        <v>2327</v>
      </c>
      <c r="E38" s="2" t="inlineStr">
        <is>
          <t>美系券商</t>
        </is>
      </c>
      <c r="F38" s="2" t="inlineStr">
        <is>
          <t>EPS上修</t>
        </is>
      </c>
      <c r="G38" s="2" t="inlineStr">
        <is>
          <t>⭐⭐⭐⭐</t>
        </is>
      </c>
      <c r="H38" s="3" t="inlineStr">
        <is>
          <t>#被動元件 #鉭電容</t>
        </is>
      </c>
    </row>
    <row r="39">
      <c r="A39" s="2" t="inlineStr">
        <is>
          <t>038</t>
        </is>
      </c>
      <c r="B39" s="2" t="inlineStr">
        <is>
          <t>2025/11/03</t>
        </is>
      </c>
      <c r="C39" s="2" t="inlineStr">
        <is>
          <t>嘉澤</t>
        </is>
      </c>
      <c r="D39" s="44" t="n">
        <v>3533</v>
      </c>
      <c r="E39" s="2" t="inlineStr">
        <is>
          <t>美系大行</t>
        </is>
      </c>
      <c r="F39" s="2" t="inlineStr">
        <is>
          <t>降目標</t>
        </is>
      </c>
      <c r="G39" s="2" t="inlineStr">
        <is>
          <t>⭐⭐⭐</t>
        </is>
      </c>
      <c r="H39" s="3" t="inlineStr">
        <is>
          <t>#QD #VR200</t>
        </is>
      </c>
    </row>
    <row r="40">
      <c r="A40" s="2" t="inlineStr">
        <is>
          <t>039</t>
        </is>
      </c>
      <c r="B40" s="2" t="inlineStr">
        <is>
          <t>2025/10/31</t>
        </is>
      </c>
      <c r="C40" s="2" t="inlineStr">
        <is>
          <t>AI供應鏈</t>
        </is>
      </c>
      <c r="D40" s="2" t="inlineStr">
        <is>
          <t>-</t>
        </is>
      </c>
      <c r="E40" s="2" t="inlineStr">
        <is>
          <t>美系大行</t>
        </is>
      </c>
      <c r="F40" s="2" t="inlineStr">
        <is>
          <t>產業趨勢</t>
        </is>
      </c>
      <c r="G40" s="2" t="inlineStr">
        <is>
          <t>⭐⭐⭐⭐⭐</t>
        </is>
      </c>
      <c r="H40" s="3" t="inlineStr">
        <is>
          <t>#CoWoS #AMD #Broadcom</t>
        </is>
      </c>
    </row>
    <row r="41">
      <c r="A41" s="2" t="inlineStr">
        <is>
          <t>040</t>
        </is>
      </c>
      <c r="B41" s="2" t="inlineStr">
        <is>
          <t>2025/10/31</t>
        </is>
      </c>
      <c r="C41" s="2" t="inlineStr">
        <is>
          <t>京元電</t>
        </is>
      </c>
      <c r="D41" s="44" t="n">
        <v>2449</v>
      </c>
      <c r="E41" s="2" t="inlineStr">
        <is>
          <t>亞系券商</t>
        </is>
      </c>
      <c r="F41" s="2" t="inlineStr">
        <is>
          <t>EPS上修</t>
        </is>
      </c>
      <c r="G41" s="2" t="inlineStr">
        <is>
          <t>⭐⭐⭐⭐</t>
        </is>
      </c>
      <c r="H41" s="3" t="inlineStr">
        <is>
          <t>#ASIC #TPU</t>
        </is>
      </c>
    </row>
    <row r="42">
      <c r="A42" s="2" t="inlineStr">
        <is>
          <t>041</t>
        </is>
      </c>
      <c r="B42" s="2" t="inlineStr">
        <is>
          <t>2025/10/31</t>
        </is>
      </c>
      <c r="C42" s="2" t="inlineStr">
        <is>
          <t>日月光</t>
        </is>
      </c>
      <c r="D42" s="44" t="n">
        <v>3711</v>
      </c>
      <c r="E42" s="2" t="inlineStr">
        <is>
          <t>美系大行</t>
        </is>
      </c>
      <c r="F42" s="2" t="inlineStr">
        <is>
          <t>營運展望</t>
        </is>
      </c>
      <c r="G42" s="2" t="inlineStr">
        <is>
          <t>⭐⭐⭐⭐</t>
        </is>
      </c>
      <c r="H42" s="3" t="inlineStr">
        <is>
          <t>#封裝 #LEAP</t>
        </is>
      </c>
    </row>
    <row r="43">
      <c r="A43" s="2" t="inlineStr">
        <is>
          <t>042</t>
        </is>
      </c>
      <c r="B43" s="2" t="inlineStr">
        <is>
          <t>2025/10/31</t>
        </is>
      </c>
      <c r="C43" s="2" t="inlineStr">
        <is>
          <t>川湖</t>
        </is>
      </c>
      <c r="D43" s="44" t="n">
        <v>2059</v>
      </c>
      <c r="E43" s="2" t="inlineStr">
        <is>
          <t>美系大行</t>
        </is>
      </c>
      <c r="F43" s="2" t="inlineStr">
        <is>
          <t>EPS上修</t>
        </is>
      </c>
      <c r="G43" s="2" t="inlineStr">
        <is>
          <t>⭐⭐⭐⭐⭐</t>
        </is>
      </c>
      <c r="H43" s="3" t="inlineStr">
        <is>
          <t>#機櫃 #AMD Helios</t>
        </is>
      </c>
    </row>
    <row r="44">
      <c r="A44" s="2" t="inlineStr">
        <is>
          <t>043</t>
        </is>
      </c>
      <c r="B44" s="2" t="inlineStr">
        <is>
          <t>2025/10/31</t>
        </is>
      </c>
      <c r="C44" s="2" t="inlineStr">
        <is>
          <t>台達電</t>
        </is>
      </c>
      <c r="D44" s="44" t="n">
        <v>2308</v>
      </c>
      <c r="E44" s="2" t="inlineStr">
        <is>
          <t>美系大行</t>
        </is>
      </c>
      <c r="F44" s="2" t="inlineStr">
        <is>
          <t>EPS上修</t>
        </is>
      </c>
      <c r="G44" s="2" t="inlineStr">
        <is>
          <t>⭐⭐⭐⭐⭐</t>
        </is>
      </c>
      <c r="H44" s="3" t="inlineStr">
        <is>
          <t>#Infra #OPM #首選</t>
        </is>
      </c>
    </row>
    <row r="45">
      <c r="A45" s="2" t="inlineStr">
        <is>
          <t>044</t>
        </is>
      </c>
      <c r="B45" s="2" t="inlineStr">
        <is>
          <t>2025/10/31</t>
        </is>
      </c>
      <c r="C45" s="2" t="inlineStr">
        <is>
          <t>台光電</t>
        </is>
      </c>
      <c r="D45" s="44" t="n">
        <v>2383</v>
      </c>
      <c r="E45" s="2" t="inlineStr">
        <is>
          <t>美系券商</t>
        </is>
      </c>
      <c r="F45" s="2" t="inlineStr">
        <is>
          <t>EPS上修</t>
        </is>
      </c>
      <c r="G45" s="2" t="inlineStr">
        <is>
          <t>⭐⭐⭐⭐</t>
        </is>
      </c>
      <c r="H45" s="3" t="inlineStr">
        <is>
          <t>#AWS #800G #Google</t>
        </is>
      </c>
    </row>
    <row r="46">
      <c r="A46" s="2" t="inlineStr">
        <is>
          <t>045</t>
        </is>
      </c>
      <c r="B46" s="2" t="inlineStr">
        <is>
          <t>2025/10/30</t>
        </is>
      </c>
      <c r="C46" s="2" t="inlineStr">
        <is>
          <t>奇鋐</t>
        </is>
      </c>
      <c r="D46" s="44" t="n">
        <v>3017</v>
      </c>
      <c r="E46" s="2" t="inlineStr">
        <is>
          <t>亞系券商</t>
        </is>
      </c>
      <c r="F46" s="2" t="inlineStr">
        <is>
          <t>EPS上修</t>
        </is>
      </c>
      <c r="G46" s="2" t="inlineStr">
        <is>
          <t>⭐⭐⭐⭐⭐</t>
        </is>
      </c>
      <c r="H46" s="3" t="inlineStr">
        <is>
          <t>#水冷 #VC #機殼</t>
        </is>
      </c>
    </row>
    <row r="47">
      <c r="A47" s="2" t="inlineStr">
        <is>
          <t>046</t>
        </is>
      </c>
      <c r="B47" s="2" t="inlineStr">
        <is>
          <t>2025/10/30</t>
        </is>
      </c>
      <c r="C47" s="2" t="inlineStr">
        <is>
          <t>雙鴻</t>
        </is>
      </c>
      <c r="D47" s="44" t="n">
        <v>3324</v>
      </c>
      <c r="E47" s="2" t="inlineStr">
        <is>
          <t>美系券商</t>
        </is>
      </c>
      <c r="F47" s="2" t="inlineStr">
        <is>
          <t>EPS上修</t>
        </is>
      </c>
      <c r="G47" s="2" t="inlineStr">
        <is>
          <t>⭐⭐⭐⭐</t>
        </is>
      </c>
      <c r="H47" s="3" t="inlineStr">
        <is>
          <t>#水冷</t>
        </is>
      </c>
    </row>
    <row r="48">
      <c r="A48" s="2" t="inlineStr">
        <is>
          <t>047</t>
        </is>
      </c>
      <c r="B48" s="2" t="inlineStr">
        <is>
          <t>2025/10/30</t>
        </is>
      </c>
      <c r="C48" s="2" t="inlineStr">
        <is>
          <t>旺宏</t>
        </is>
      </c>
      <c r="D48" s="44" t="n">
        <v>2337</v>
      </c>
      <c r="E48" s="2" t="inlineStr">
        <is>
          <t>美系大行</t>
        </is>
      </c>
      <c r="F48" s="2" t="inlineStr">
        <is>
          <t>營運展望</t>
        </is>
      </c>
      <c r="G48" s="2" t="inlineStr">
        <is>
          <t>⭐⭐⭐</t>
        </is>
      </c>
      <c r="H48" s="3" t="inlineStr">
        <is>
          <t>#Nor #NAND #ROM</t>
        </is>
      </c>
    </row>
    <row r="49">
      <c r="A49" s="2" t="inlineStr">
        <is>
          <t>048</t>
        </is>
      </c>
      <c r="B49" s="2" t="inlineStr">
        <is>
          <t>2025/10/30</t>
        </is>
      </c>
      <c r="C49" s="2" t="inlineStr">
        <is>
          <t>聯亞</t>
        </is>
      </c>
      <c r="D49" s="44" t="n">
        <v>3081</v>
      </c>
      <c r="E49" s="2" t="inlineStr">
        <is>
          <t>美系券商</t>
        </is>
      </c>
      <c r="F49" s="2" t="inlineStr">
        <is>
          <t>EPS上修</t>
        </is>
      </c>
      <c r="G49" s="2" t="inlineStr">
        <is>
          <t>⭐⭐⭐⭐</t>
        </is>
      </c>
      <c r="H49" s="3" t="inlineStr">
        <is>
          <t>#矽光子 #InP #CW雷射</t>
        </is>
      </c>
    </row>
    <row r="50">
      <c r="A50" s="2" t="inlineStr">
        <is>
          <t>049</t>
        </is>
      </c>
      <c r="B50" s="2" t="inlineStr">
        <is>
          <t>2025/10/30</t>
        </is>
      </c>
      <c r="C50" s="2" t="inlineStr">
        <is>
          <t>光寶科</t>
        </is>
      </c>
      <c r="D50" s="44" t="n">
        <v>2301</v>
      </c>
      <c r="E50" s="2" t="inlineStr">
        <is>
          <t>美系大行</t>
        </is>
      </c>
      <c r="F50" s="2" t="inlineStr">
        <is>
          <t>營運展望</t>
        </is>
      </c>
      <c r="G50" s="2" t="inlineStr">
        <is>
          <t>⭐⭐⭐⭐</t>
        </is>
      </c>
      <c r="H50" s="3" t="inlineStr">
        <is>
          <t>#CB #擴產</t>
        </is>
      </c>
    </row>
    <row r="51">
      <c r="A51" s="2" t="inlineStr">
        <is>
          <t>050</t>
        </is>
      </c>
      <c r="B51" s="2" t="inlineStr">
        <is>
          <t>2025/10/30</t>
        </is>
      </c>
      <c r="C51" s="2" t="inlineStr">
        <is>
          <t>Celestica/智邦</t>
        </is>
      </c>
      <c r="D51" s="44" t="n">
        <v>2345</v>
      </c>
      <c r="E51" s="2" t="inlineStr">
        <is>
          <t>美系券商</t>
        </is>
      </c>
      <c r="F51" s="2" t="inlineStr">
        <is>
          <t>產業解讀</t>
        </is>
      </c>
      <c r="G51" s="2" t="inlineStr">
        <is>
          <t>⭐⭐⭐⭐</t>
        </is>
      </c>
      <c r="H51" s="3" t="inlineStr">
        <is>
          <t>#800G #1.6T #LPO</t>
        </is>
      </c>
    </row>
    <row r="52">
      <c r="A52" s="42" t="n">
        <v>51</v>
      </c>
      <c r="B52" s="42" t="inlineStr">
        <is>
          <t>2025/10/28</t>
        </is>
      </c>
      <c r="C52" s="43" t="inlineStr">
        <is>
          <t>貿聯</t>
        </is>
      </c>
      <c r="D52" s="44" t="n">
        <v>3665</v>
      </c>
      <c r="E52" s="43" t="inlineStr">
        <is>
          <t>美系大行</t>
        </is>
      </c>
      <c r="F52" s="43" t="inlineStr">
        <is>
          <t>美系升目標</t>
        </is>
      </c>
      <c r="G52" s="43" t="inlineStr">
        <is>
          <t>⭐⭐⭐⭐</t>
        </is>
      </c>
      <c r="H52" s="43" t="inlineStr">
        <is>
          <t>#AEC #電源互連</t>
        </is>
      </c>
    </row>
    <row r="53">
      <c r="A53" s="42" t="n">
        <v>52</v>
      </c>
      <c r="B53" s="42" t="inlineStr">
        <is>
          <t>2025/10/28</t>
        </is>
      </c>
      <c r="C53" s="43" t="inlineStr">
        <is>
          <t>奇鋐</t>
        </is>
      </c>
      <c r="D53" s="44" t="n">
        <v>3017</v>
      </c>
      <c r="E53" s="43" t="inlineStr">
        <is>
          <t>亞系券商</t>
        </is>
      </c>
      <c r="F53" s="43" t="inlineStr">
        <is>
          <t>亞系升目標</t>
        </is>
      </c>
      <c r="G53" s="43" t="inlineStr">
        <is>
          <t>⭐⭐⭐⭐</t>
        </is>
      </c>
      <c r="H53" s="43" t="inlineStr">
        <is>
          <t>#水冷 #ASIC</t>
        </is>
      </c>
    </row>
    <row r="54">
      <c r="A54" s="42" t="n">
        <v>53</v>
      </c>
      <c r="B54" s="42" t="inlineStr">
        <is>
          <t>2025/10/27</t>
        </is>
      </c>
      <c r="C54" s="43" t="inlineStr">
        <is>
          <t>南亞科</t>
        </is>
      </c>
      <c r="D54" s="44" t="n">
        <v>2408</v>
      </c>
      <c r="E54" s="43" t="inlineStr">
        <is>
          <t>美系大行</t>
        </is>
      </c>
      <c r="F54" s="43" t="inlineStr">
        <is>
          <t>記憶體產業再上修</t>
        </is>
      </c>
      <c r="G54" s="43" t="inlineStr">
        <is>
          <t>⭐⭐⭐⭐⭐</t>
        </is>
      </c>
      <c r="H54" s="43" t="inlineStr">
        <is>
          <t>#DDR4 #缺貨</t>
        </is>
      </c>
    </row>
    <row r="55">
      <c r="A55" s="42" t="n">
        <v>54</v>
      </c>
      <c r="B55" s="42" t="inlineStr">
        <is>
          <t>2025/10/17</t>
        </is>
      </c>
      <c r="C55" s="43" t="inlineStr">
        <is>
          <t>台積電</t>
        </is>
      </c>
      <c r="D55" s="44" t="n">
        <v>2330</v>
      </c>
      <c r="E55" s="43" t="inlineStr">
        <is>
          <t>美系券商</t>
        </is>
      </c>
      <c r="F55" s="43" t="inlineStr">
        <is>
          <t>3Q法說會</t>
        </is>
      </c>
      <c r="G55" s="43" t="inlineStr">
        <is>
          <t>⭐⭐⭐⭐⭐</t>
        </is>
      </c>
      <c r="H55" s="43" t="inlineStr">
        <is>
          <t>#CoWoS #法說會</t>
        </is>
      </c>
    </row>
    <row r="56">
      <c r="A56" s="42" t="n">
        <v>55</v>
      </c>
      <c r="B56" s="42" t="inlineStr">
        <is>
          <t>2025/10/01</t>
        </is>
      </c>
      <c r="C56" s="43" t="inlineStr">
        <is>
          <t>鴻海</t>
        </is>
      </c>
      <c r="D56" s="44" t="n">
        <v>2317</v>
      </c>
      <c r="E56" s="43" t="inlineStr">
        <is>
          <t>美系券商</t>
        </is>
      </c>
      <c r="F56" s="43" t="inlineStr">
        <is>
          <t>美系升目標</t>
        </is>
      </c>
      <c r="G56" s="43" t="inlineStr">
        <is>
          <t>⭐⭐⭐⭐</t>
        </is>
      </c>
      <c r="H56" s="43" t="inlineStr">
        <is>
          <t>#rack-level #CSP</t>
        </is>
      </c>
    </row>
    <row r="57">
      <c r="A57" s="42" t="n">
        <v>56</v>
      </c>
      <c r="B57" s="42" t="inlineStr">
        <is>
          <t>2025/10/28</t>
        </is>
      </c>
      <c r="C57" s="43" t="inlineStr">
        <is>
          <t>景碩</t>
        </is>
      </c>
      <c r="D57" s="44" t="n">
        <v>3189</v>
      </c>
      <c r="E57" s="43" t="inlineStr">
        <is>
          <t>美系券商</t>
        </is>
      </c>
      <c r="F57" s="43" t="inlineStr">
        <is>
          <t>3Q財報分析</t>
        </is>
      </c>
      <c r="G57" s="43" t="inlineStr">
        <is>
          <t>⭐⭐⭐⭐</t>
        </is>
      </c>
      <c r="H57" s="43" t="inlineStr">
        <is>
          <t>#BT #ABF #漲價</t>
        </is>
      </c>
    </row>
    <row r="58">
      <c r="A58" s="42" t="n">
        <v>57</v>
      </c>
      <c r="B58" s="42" t="inlineStr">
        <is>
          <t>2025/10/27</t>
        </is>
      </c>
      <c r="C58" s="43" t="inlineStr">
        <is>
          <t>華邦電</t>
        </is>
      </c>
      <c r="D58" s="44" t="n">
        <v>2344</v>
      </c>
      <c r="E58" s="43" t="inlineStr">
        <is>
          <t>美系大行</t>
        </is>
      </c>
      <c r="F58" s="43" t="inlineStr">
        <is>
          <t>記憶體產業-升目標</t>
        </is>
      </c>
      <c r="G58" s="43" t="inlineStr">
        <is>
          <t>⭐⭐⭐⭐</t>
        </is>
      </c>
      <c r="H58" s="43" t="inlineStr">
        <is>
          <t>#記憶體 #毛利率</t>
        </is>
      </c>
    </row>
    <row r="59">
      <c r="A59" s="42" t="n">
        <v>58</v>
      </c>
      <c r="B59" s="42" t="inlineStr">
        <is>
          <t>2025/10/27</t>
        </is>
      </c>
      <c r="C59" s="43" t="inlineStr">
        <is>
          <t>貿聯</t>
        </is>
      </c>
      <c r="D59" s="44" t="n">
        <v>3665</v>
      </c>
      <c r="E59" s="43" t="inlineStr">
        <is>
          <t>亞系券商</t>
        </is>
      </c>
      <c r="F59" s="43" t="inlineStr">
        <is>
          <t>亞系升目標</t>
        </is>
      </c>
      <c r="G59" s="43" t="inlineStr">
        <is>
          <t>⭐⭐⭐⭐</t>
        </is>
      </c>
      <c r="H59" s="43" t="inlineStr">
        <is>
          <t>#AEC #HPC #800G</t>
        </is>
      </c>
    </row>
    <row r="60">
      <c r="A60" s="42" t="n">
        <v>59</v>
      </c>
      <c r="B60" s="42" t="inlineStr">
        <is>
          <t>2025/10/27</t>
        </is>
      </c>
      <c r="C60" s="43" t="inlineStr">
        <is>
          <t>富世達</t>
        </is>
      </c>
      <c r="D60" s="44" t="n">
        <v>6805</v>
      </c>
      <c r="E60" s="43" t="inlineStr">
        <is>
          <t>美系券商</t>
        </is>
      </c>
      <c r="F60" s="43" t="inlineStr">
        <is>
          <t>美系升目標</t>
        </is>
      </c>
      <c r="G60" s="43" t="inlineStr">
        <is>
          <t>⭐⭐⭐⭐</t>
        </is>
      </c>
      <c r="H60" s="43" t="inlineStr">
        <is>
          <t>#水冷 #零組件</t>
        </is>
      </c>
    </row>
    <row r="61">
      <c r="A61" s="42" t="n">
        <v>60</v>
      </c>
      <c r="B61" s="42" t="inlineStr">
        <is>
          <t>2025/10/27</t>
        </is>
      </c>
      <c r="C61" s="43" t="inlineStr">
        <is>
          <t>台達電</t>
        </is>
      </c>
      <c r="D61" s="44" t="n">
        <v>2308</v>
      </c>
      <c r="E61" s="43" t="inlineStr">
        <is>
          <t>美系券商</t>
        </is>
      </c>
      <c r="F61" s="43" t="inlineStr">
        <is>
          <t>美系升目標</t>
        </is>
      </c>
      <c r="G61" s="43" t="inlineStr">
        <is>
          <t>⭐⭐⭐⭐⭐</t>
        </is>
      </c>
      <c r="H61" s="43" t="inlineStr">
        <is>
          <t>#電源 #GB300 #800VDC</t>
        </is>
      </c>
    </row>
    <row r="62">
      <c r="A62" s="42" t="n">
        <v>61</v>
      </c>
      <c r="B62" s="42" t="inlineStr">
        <is>
          <t>2025/10/22</t>
        </is>
      </c>
      <c r="C62" s="43" t="inlineStr">
        <is>
          <t>南電</t>
        </is>
      </c>
      <c r="D62" s="44" t="n">
        <v>8046</v>
      </c>
      <c r="E62" s="43" t="inlineStr">
        <is>
          <t>美系券商</t>
        </is>
      </c>
      <c r="F62" s="43" t="inlineStr">
        <is>
          <t>美系升目標</t>
        </is>
      </c>
      <c r="G62" s="43" t="inlineStr">
        <is>
          <t>⭐⭐⭐⭐⭐</t>
        </is>
      </c>
      <c r="H62" s="43" t="inlineStr">
        <is>
          <t>#ABF #BT #供需缺口</t>
        </is>
      </c>
    </row>
    <row r="63">
      <c r="A63" s="42" t="n">
        <v>62</v>
      </c>
      <c r="B63" s="42" t="inlineStr">
        <is>
          <t>2025/10/22</t>
        </is>
      </c>
      <c r="C63" s="43" t="inlineStr">
        <is>
          <t>東元</t>
        </is>
      </c>
      <c r="D63" s="44" t="n">
        <v>1504</v>
      </c>
      <c r="E63" s="43" t="inlineStr">
        <is>
          <t>美系券商</t>
        </is>
      </c>
      <c r="F63" s="43" t="inlineStr">
        <is>
          <t>MDC-重申正向</t>
        </is>
      </c>
      <c r="G63" s="43" t="inlineStr">
        <is>
          <t>⭐⭐⭐⭐</t>
        </is>
      </c>
      <c r="H63" s="43" t="inlineStr">
        <is>
          <t>#MDC #GB200</t>
        </is>
      </c>
    </row>
    <row r="64">
      <c r="A64" s="42" t="n">
        <v>63</v>
      </c>
      <c r="B64" s="42" t="inlineStr">
        <is>
          <t>2025/10/22</t>
        </is>
      </c>
      <c r="C64" s="43" t="inlineStr">
        <is>
          <t>緯穎</t>
        </is>
      </c>
      <c r="D64" s="44" t="n">
        <v>6669</v>
      </c>
      <c r="E64" s="43" t="inlineStr">
        <is>
          <t>亞系券商</t>
        </is>
      </c>
      <c r="F64" s="43" t="inlineStr">
        <is>
          <t>亞系升目標</t>
        </is>
      </c>
      <c r="G64" s="43" t="inlineStr">
        <is>
          <t>⭐⭐⭐⭐⭐</t>
        </is>
      </c>
      <c r="H64" s="43" t="inlineStr">
        <is>
          <t>#AWS #GPU #Oracle</t>
        </is>
      </c>
    </row>
    <row r="65">
      <c r="A65" s="42" t="n">
        <v>64</v>
      </c>
      <c r="B65" s="42" t="inlineStr">
        <is>
          <t>2025/10/21</t>
        </is>
      </c>
      <c r="C65" s="43" t="inlineStr">
        <is>
          <t>緯穎</t>
        </is>
      </c>
      <c r="D65" s="44" t="n">
        <v>6669</v>
      </c>
      <c r="E65" s="43" t="inlineStr">
        <is>
          <t>澳系券商</t>
        </is>
      </c>
      <c r="F65" s="43" t="inlineStr">
        <is>
          <t>澳系升目標</t>
        </is>
      </c>
      <c r="G65" s="43" t="inlineStr">
        <is>
          <t>⭐⭐⭐⭐⭐</t>
        </is>
      </c>
      <c r="H65" s="43" t="inlineStr">
        <is>
          <t>#AWS #T3 #ASIC</t>
        </is>
      </c>
    </row>
    <row r="66">
      <c r="A66" s="42" t="n">
        <v>65</v>
      </c>
      <c r="B66" s="42" t="inlineStr">
        <is>
          <t>2025/10/21</t>
        </is>
      </c>
      <c r="C66" s="43" t="inlineStr">
        <is>
          <t>富世達</t>
        </is>
      </c>
      <c r="D66" s="44" t="n">
        <v>6805</v>
      </c>
      <c r="E66" s="43" t="inlineStr">
        <is>
          <t>亞系券商</t>
        </is>
      </c>
      <c r="F66" s="43" t="inlineStr">
        <is>
          <t>亞系升目標</t>
        </is>
      </c>
      <c r="G66" s="43" t="inlineStr">
        <is>
          <t>⭐⭐⭐⭐</t>
        </is>
      </c>
      <c r="H66" s="43" t="inlineStr">
        <is>
          <t>#水冷 #伺服器</t>
        </is>
      </c>
    </row>
    <row r="67">
      <c r="A67" s="42" t="n">
        <v>66</v>
      </c>
      <c r="B67" s="42" t="inlineStr">
        <is>
          <t>2025/10/20</t>
        </is>
      </c>
      <c r="C67" s="43" t="inlineStr">
        <is>
          <t>東元</t>
        </is>
      </c>
      <c r="D67" s="44" t="n">
        <v>1504</v>
      </c>
      <c r="E67" s="43" t="inlineStr">
        <is>
          <t>美系券商</t>
        </is>
      </c>
      <c r="F67" s="43" t="inlineStr">
        <is>
          <t>美系初評正向</t>
        </is>
      </c>
      <c r="G67" s="43" t="inlineStr">
        <is>
          <t>⭐⭐⭐⭐</t>
        </is>
      </c>
      <c r="H67" s="43" t="inlineStr">
        <is>
          <t>#MDC #馬達 #中東</t>
        </is>
      </c>
    </row>
    <row r="68">
      <c r="A68" s="42" t="n">
        <v>67</v>
      </c>
      <c r="B68" s="42" t="inlineStr">
        <is>
          <t>2025/10/20</t>
        </is>
      </c>
      <c r="C68" s="43" t="inlineStr">
        <is>
          <t>聯亞</t>
        </is>
      </c>
      <c r="D68" s="44" t="n">
        <v>3081</v>
      </c>
      <c r="E68" s="43" t="inlineStr">
        <is>
          <t>美系券商</t>
        </is>
      </c>
      <c r="F68" s="43" t="inlineStr">
        <is>
          <t>美系重申正向</t>
        </is>
      </c>
      <c r="G68" s="43" t="inlineStr">
        <is>
          <t>⭐⭐⭐⭐</t>
        </is>
      </c>
      <c r="H68" s="43" t="inlineStr">
        <is>
          <t>#矽光子 #800G #1.6T</t>
        </is>
      </c>
    </row>
    <row r="69">
      <c r="A69" s="42" t="n">
        <v>68</v>
      </c>
      <c r="B69" s="42" t="inlineStr">
        <is>
          <t>2025/10/17</t>
        </is>
      </c>
      <c r="C69" s="43" t="inlineStr">
        <is>
          <t>緯穎</t>
        </is>
      </c>
      <c r="D69" s="44" t="n">
        <v>6669</v>
      </c>
      <c r="E69" s="43" t="inlineStr">
        <is>
          <t>美系券商</t>
        </is>
      </c>
      <c r="F69" s="43" t="inlineStr">
        <is>
          <t>美系升目標</t>
        </is>
      </c>
      <c r="G69" s="43" t="inlineStr">
        <is>
          <t>⭐⭐⭐⭐</t>
        </is>
      </c>
      <c r="H69" s="43" t="inlineStr">
        <is>
          <t>#GPU #AMD #ASIC</t>
        </is>
      </c>
    </row>
    <row r="70">
      <c r="A70" s="42" t="n">
        <v>69</v>
      </c>
      <c r="B70" s="42" t="inlineStr">
        <is>
          <t>2025/10/17</t>
        </is>
      </c>
      <c r="C70" s="43" t="inlineStr">
        <is>
          <t>奇鋐</t>
        </is>
      </c>
      <c r="D70" s="44" t="n">
        <v>3017</v>
      </c>
      <c r="E70" s="43" t="inlineStr">
        <is>
          <t>亞系券商</t>
        </is>
      </c>
      <c r="F70" s="43" t="inlineStr">
        <is>
          <t>散熱產業-亞系上修</t>
        </is>
      </c>
      <c r="G70" s="43" t="inlineStr">
        <is>
          <t>⭐⭐⭐⭐⭐</t>
        </is>
      </c>
      <c r="H70" s="43" t="inlineStr">
        <is>
          <t>#MCL #TDP #3000W</t>
        </is>
      </c>
    </row>
    <row r="71">
      <c r="A71" s="42" t="n">
        <v>70</v>
      </c>
      <c r="B71" s="42" t="inlineStr">
        <is>
          <t>2025/10/17</t>
        </is>
      </c>
      <c r="C71" s="43" t="inlineStr">
        <is>
          <t>健策</t>
        </is>
      </c>
      <c r="D71" s="44" t="n">
        <v>3653</v>
      </c>
      <c r="E71" s="43" t="inlineStr">
        <is>
          <t>亞系券商</t>
        </is>
      </c>
      <c r="F71" s="43" t="inlineStr">
        <is>
          <t>散熱產業-首次覆蓋</t>
        </is>
      </c>
      <c r="G71" s="43" t="inlineStr">
        <is>
          <t>⭐⭐⭐⭐</t>
        </is>
      </c>
      <c r="H71" s="43" t="inlineStr">
        <is>
          <t>#散熱 #MCL</t>
        </is>
      </c>
    </row>
    <row r="72">
      <c r="A72" s="42" t="n">
        <v>71</v>
      </c>
      <c r="B72" s="42" t="inlineStr">
        <is>
          <t>2025/10/16</t>
        </is>
      </c>
      <c r="C72" s="43" t="inlineStr">
        <is>
          <t>緯穎</t>
        </is>
      </c>
      <c r="D72" s="44" t="n">
        <v>6669</v>
      </c>
      <c r="E72" s="43" t="inlineStr">
        <is>
          <t>美系券商</t>
        </is>
      </c>
      <c r="F72" s="43" t="inlineStr">
        <is>
          <t>OCP展覽-ORW機櫃</t>
        </is>
      </c>
      <c r="G72" s="43" t="inlineStr">
        <is>
          <t>⭐⭐⭐⭐</t>
        </is>
      </c>
      <c r="H72" s="43" t="inlineStr">
        <is>
          <t>#ORW #AMD #Helios</t>
        </is>
      </c>
    </row>
    <row r="73">
      <c r="A73" s="42" t="n">
        <v>72</v>
      </c>
      <c r="B73" s="42" t="inlineStr">
        <is>
          <t>2025/10/16</t>
        </is>
      </c>
      <c r="C73" s="43" t="inlineStr">
        <is>
          <t>川湖</t>
        </is>
      </c>
      <c r="D73" s="44" t="n">
        <v>2059</v>
      </c>
      <c r="E73" s="43" t="inlineStr">
        <is>
          <t>美系券商</t>
        </is>
      </c>
      <c r="F73" s="43" t="inlineStr">
        <is>
          <t>美系升目標</t>
        </is>
      </c>
      <c r="G73" s="43" t="inlineStr">
        <is>
          <t>⭐⭐⭐⭐</t>
        </is>
      </c>
      <c r="H73" s="43" t="inlineStr">
        <is>
          <t>#rack-level #ASIC</t>
        </is>
      </c>
    </row>
    <row r="74">
      <c r="A74" s="42" t="n">
        <v>73</v>
      </c>
      <c r="B74" s="42" t="inlineStr">
        <is>
          <t>2025/10/15</t>
        </is>
      </c>
      <c r="C74" s="43" t="inlineStr">
        <is>
          <t>緯穎</t>
        </is>
      </c>
      <c r="D74" s="44" t="n">
        <v>6669</v>
      </c>
      <c r="E74" s="43" t="inlineStr">
        <is>
          <t>美系券商</t>
        </is>
      </c>
      <c r="F74" s="43" t="inlineStr">
        <is>
          <t>OCP大會-升目標</t>
        </is>
      </c>
      <c r="G74" s="43" t="inlineStr">
        <is>
          <t>⭐⭐⭐⭐</t>
        </is>
      </c>
      <c r="H74" s="43" t="inlineStr">
        <is>
          <t>#OCP #水冷</t>
        </is>
      </c>
    </row>
    <row r="75">
      <c r="A75" s="42" t="n">
        <v>74</v>
      </c>
      <c r="B75" s="42" t="inlineStr">
        <is>
          <t>2025/10/15</t>
        </is>
      </c>
      <c r="C75" s="43" t="inlineStr">
        <is>
          <t>台達電</t>
        </is>
      </c>
      <c r="D75" s="44" t="n">
        <v>2308</v>
      </c>
      <c r="E75" s="43" t="inlineStr">
        <is>
          <t>美系券商</t>
        </is>
      </c>
      <c r="F75" s="43" t="inlineStr">
        <is>
          <t>800VDC-升目標</t>
        </is>
      </c>
      <c r="G75" s="43" t="inlineStr">
        <is>
          <t>⭐⭐⭐⭐⭐</t>
        </is>
      </c>
      <c r="H75" s="43" t="inlineStr">
        <is>
          <t>#800VDC #Power_Rack</t>
        </is>
      </c>
    </row>
    <row r="76">
      <c r="A76" s="42" t="n">
        <v>75</v>
      </c>
      <c r="B76" s="42" t="inlineStr">
        <is>
          <t>2025/10/14</t>
        </is>
      </c>
      <c r="C76" s="43" t="inlineStr">
        <is>
          <t>南亞科</t>
        </is>
      </c>
      <c r="D76" s="44" t="n">
        <v>2408</v>
      </c>
      <c r="E76" s="43" t="inlineStr">
        <is>
          <t>美系券商</t>
        </is>
      </c>
      <c r="F76" s="43" t="inlineStr">
        <is>
          <t>法說會後-重申正向</t>
        </is>
      </c>
      <c r="G76" s="43" t="inlineStr">
        <is>
          <t>⭐⭐⭐⭐</t>
        </is>
      </c>
      <c r="H76" s="43" t="inlineStr">
        <is>
          <t>#DDR4 #DDR5 #法說會</t>
        </is>
      </c>
    </row>
    <row r="77">
      <c r="A77" s="42" t="n">
        <v>76</v>
      </c>
      <c r="B77" s="42" t="inlineStr">
        <is>
          <t>2025/10/13</t>
        </is>
      </c>
      <c r="C77" s="43" t="inlineStr">
        <is>
          <t>京元電</t>
        </is>
      </c>
      <c r="D77" s="44" t="n">
        <v>2449</v>
      </c>
      <c r="E77" s="43" t="inlineStr">
        <is>
          <t>美系券商</t>
        </is>
      </c>
      <c r="F77" s="43" t="inlineStr">
        <is>
          <t>撤回現增-重申正向</t>
        </is>
      </c>
      <c r="G77" s="43" t="inlineStr">
        <is>
          <t>⭐⭐⭐⭐</t>
        </is>
      </c>
      <c r="H77" s="43" t="inlineStr">
        <is>
          <t>#現增撤回 #測試</t>
        </is>
      </c>
    </row>
    <row r="78">
      <c r="A78" s="42" t="n">
        <v>77</v>
      </c>
      <c r="B78" s="42" t="inlineStr">
        <is>
          <t>2025/10/13</t>
        </is>
      </c>
      <c r="C78" s="43" t="inlineStr">
        <is>
          <t>弘塑</t>
        </is>
      </c>
      <c r="D78" s="44" t="n">
        <v>3131</v>
      </c>
      <c r="E78" s="43" t="inlineStr">
        <is>
          <t>美系券商</t>
        </is>
      </c>
      <c r="F78" s="43" t="inlineStr">
        <is>
          <t>美系初評正向</t>
        </is>
      </c>
      <c r="G78" s="43" t="inlineStr">
        <is>
          <t>⭐⭐⭐⭐</t>
        </is>
      </c>
      <c r="H78" s="43" t="inlineStr">
        <is>
          <t>#CoWoS #WLCM #CoPoS</t>
        </is>
      </c>
    </row>
    <row r="79">
      <c r="A79" s="42" t="n">
        <v>78</v>
      </c>
      <c r="B79" s="42" t="inlineStr">
        <is>
          <t>2025/10/13</t>
        </is>
      </c>
      <c r="C79" s="43" t="inlineStr">
        <is>
          <t>台達電</t>
        </is>
      </c>
      <c r="D79" s="44" t="n">
        <v>2308</v>
      </c>
      <c r="E79" s="43" t="inlineStr">
        <is>
          <t>美系券商</t>
        </is>
      </c>
      <c r="F79" s="43" t="inlineStr">
        <is>
          <t>9月優於預期</t>
        </is>
      </c>
      <c r="G79" s="43" t="inlineStr">
        <is>
          <t>⭐⭐⭐⭐⭐</t>
        </is>
      </c>
      <c r="H79" s="43" t="inlineStr">
        <is>
          <t>#水冷 #Top_Pick</t>
        </is>
      </c>
    </row>
    <row r="80">
      <c r="A80" s="42" t="n">
        <v>79</v>
      </c>
      <c r="B80" s="42" t="inlineStr">
        <is>
          <t>2025/10/13</t>
        </is>
      </c>
      <c r="C80" s="43" t="inlineStr">
        <is>
          <t>大立光</t>
        </is>
      </c>
      <c r="D80" s="44" t="n">
        <v>3008</v>
      </c>
      <c r="E80" s="43" t="inlineStr">
        <is>
          <t>美系券商</t>
        </is>
      </c>
      <c r="F80" s="43" t="inlineStr">
        <is>
          <t>美系升目標</t>
        </is>
      </c>
      <c r="G80" s="43" t="inlineStr">
        <is>
          <t>⭐⭐⭐⭐</t>
        </is>
      </c>
      <c r="H80" s="43" t="inlineStr">
        <is>
          <t>#鏡頭 #高畫素</t>
        </is>
      </c>
    </row>
    <row r="81">
      <c r="A81" s="42" t="n">
        <v>80</v>
      </c>
      <c r="B81" s="42" t="inlineStr">
        <is>
          <t>2025/10/07</t>
        </is>
      </c>
      <c r="C81" s="43" t="inlineStr">
        <is>
          <t>鴻海</t>
        </is>
      </c>
      <c r="D81" s="44" t="n">
        <v>2317</v>
      </c>
      <c r="E81" s="43" t="inlineStr">
        <is>
          <t>美系券商</t>
        </is>
      </c>
      <c r="F81" s="43" t="inlineStr">
        <is>
          <t>9月營收歷史新高</t>
        </is>
      </c>
      <c r="G81" s="43" t="inlineStr">
        <is>
          <t>⭐⭐⭐⭐</t>
        </is>
      </c>
      <c r="H81" s="43" t="inlineStr">
        <is>
          <t>#GB系列 #iPhone17</t>
        </is>
      </c>
    </row>
    <row r="82">
      <c r="A82" s="42" t="n">
        <v>81</v>
      </c>
      <c r="B82" s="42" t="inlineStr">
        <is>
          <t>2025/10/07</t>
        </is>
      </c>
      <c r="C82" s="43" t="inlineStr">
        <is>
          <t>健策</t>
        </is>
      </c>
      <c r="D82" s="44" t="n">
        <v>3653</v>
      </c>
      <c r="E82" s="43" t="inlineStr">
        <is>
          <t>美系券商</t>
        </is>
      </c>
      <c r="F82" s="43" t="inlineStr">
        <is>
          <t>MCL-重申正向</t>
        </is>
      </c>
      <c r="G82" s="43" t="inlineStr">
        <is>
          <t>⭐⭐⭐⭐</t>
        </is>
      </c>
      <c r="H82" s="43" t="inlineStr">
        <is>
          <t>#MCL #散熱</t>
        </is>
      </c>
    </row>
    <row r="83">
      <c r="A83" s="42" t="n">
        <v>82</v>
      </c>
      <c r="B83" s="42" t="inlineStr">
        <is>
          <t>2025/10/07</t>
        </is>
      </c>
      <c r="C83" s="43" t="inlineStr">
        <is>
          <t>台積電</t>
        </is>
      </c>
      <c r="D83" s="44" t="n">
        <v>2330</v>
      </c>
      <c r="E83" s="43" t="inlineStr">
        <is>
          <t>澳系券商</t>
        </is>
      </c>
      <c r="F83" s="43" t="inlineStr">
        <is>
          <t>澳系升目標</t>
        </is>
      </c>
      <c r="G83" s="43" t="inlineStr">
        <is>
          <t>⭐⭐⭐⭐⭐</t>
        </is>
      </c>
      <c r="H83" s="43" t="inlineStr">
        <is>
          <t>#N3 #ASP #漲價</t>
        </is>
      </c>
    </row>
    <row r="84">
      <c r="A84" s="42" t="n">
        <v>83</v>
      </c>
      <c r="B84" s="42" t="inlineStr">
        <is>
          <t>2025/10/03</t>
        </is>
      </c>
      <c r="C84" s="43" t="inlineStr">
        <is>
          <t>台達電</t>
        </is>
      </c>
      <c r="D84" s="44" t="n">
        <v>2308</v>
      </c>
      <c r="E84" s="43" t="inlineStr">
        <is>
          <t>美系券商</t>
        </is>
      </c>
      <c r="F84" s="43" t="inlineStr">
        <is>
          <t>HVDC-升目標</t>
        </is>
      </c>
      <c r="G84" s="43" t="inlineStr">
        <is>
          <t>⭐⭐⭐⭐⭐</t>
        </is>
      </c>
      <c r="H84" s="43" t="inlineStr">
        <is>
          <t>#HVDC #Rubin #ROE</t>
        </is>
      </c>
    </row>
    <row r="85">
      <c r="A85" s="42" t="n">
        <v>84</v>
      </c>
      <c r="B85" s="42" t="inlineStr">
        <is>
          <t>2025/10/02</t>
        </is>
      </c>
      <c r="C85" s="43" t="inlineStr">
        <is>
          <t>緯創</t>
        </is>
      </c>
      <c r="D85" s="44" t="n">
        <v>3231</v>
      </c>
      <c r="E85" s="43" t="inlineStr">
        <is>
          <t>美系券商</t>
        </is>
      </c>
      <c r="F85" s="43" t="inlineStr">
        <is>
          <t>美系升為首選</t>
        </is>
      </c>
      <c r="G85" s="43" t="inlineStr">
        <is>
          <t>⭐⭐⭐⭐⭐</t>
        </is>
      </c>
      <c r="H85" s="43" t="inlineStr">
        <is>
          <t>#VR200 #Top_Pick</t>
        </is>
      </c>
    </row>
    <row r="86">
      <c r="A86" s="42" t="n">
        <v>85</v>
      </c>
      <c r="B86" s="42" t="inlineStr">
        <is>
          <t>2025/10/02</t>
        </is>
      </c>
      <c r="C86" s="43" t="inlineStr">
        <is>
          <t>緯穎</t>
        </is>
      </c>
      <c r="D86" s="44" t="n">
        <v>6669</v>
      </c>
      <c r="E86" s="43" t="inlineStr">
        <is>
          <t>亞系券商</t>
        </is>
      </c>
      <c r="F86" s="43" t="inlineStr">
        <is>
          <t>亞系升目標</t>
        </is>
      </c>
      <c r="G86" s="43" t="inlineStr">
        <is>
          <t>⭐⭐⭐⭐</t>
        </is>
      </c>
      <c r="H86" s="43" t="inlineStr">
        <is>
          <t>#AWS #ASIC #液冷</t>
        </is>
      </c>
    </row>
    <row r="87">
      <c r="A87" s="42" t="n">
        <v>86</v>
      </c>
      <c r="B87" s="42" t="inlineStr">
        <is>
          <t>2025/10/01</t>
        </is>
      </c>
      <c r="C87" s="43" t="inlineStr">
        <is>
          <t>信驊</t>
        </is>
      </c>
      <c r="D87" s="44" t="n">
        <v>5274</v>
      </c>
      <c r="E87" s="43" t="inlineStr">
        <is>
          <t>美系券商</t>
        </is>
      </c>
      <c r="F87" s="43" t="inlineStr">
        <is>
          <t>美系升目標</t>
        </is>
      </c>
      <c r="G87" s="43" t="inlineStr">
        <is>
          <t>⭐⭐⭐⭐</t>
        </is>
      </c>
      <c r="H87" s="43" t="inlineStr">
        <is>
          <t>#BMC #AST2700</t>
        </is>
      </c>
    </row>
    <row r="88">
      <c r="A88" s="42" t="n">
        <v>87</v>
      </c>
      <c r="B88" s="42" t="inlineStr">
        <is>
          <t>2025/09/30</t>
        </is>
      </c>
      <c r="C88" s="43" t="inlineStr">
        <is>
          <t>台光電</t>
        </is>
      </c>
      <c r="D88" s="44" t="n">
        <v>2383</v>
      </c>
      <c r="E88" s="43" t="inlineStr">
        <is>
          <t>美系券商</t>
        </is>
      </c>
      <c r="F88" s="43" t="inlineStr">
        <is>
          <t>CCL產業-升目標</t>
        </is>
      </c>
      <c r="G88" s="43" t="inlineStr">
        <is>
          <t>⭐⭐⭐⭐⭐</t>
        </is>
      </c>
      <c r="H88" s="43" t="inlineStr">
        <is>
          <t>#CCL #M9 #Q-glass</t>
        </is>
      </c>
    </row>
    <row r="89">
      <c r="A89" s="42" t="n">
        <v>88</v>
      </c>
      <c r="B89" s="42" t="inlineStr">
        <is>
          <t>2025/09/30</t>
        </is>
      </c>
      <c r="C89" s="43" t="inlineStr">
        <is>
          <t>全新</t>
        </is>
      </c>
      <c r="D89" s="44" t="n">
        <v>2455</v>
      </c>
      <c r="E89" s="43" t="inlineStr">
        <is>
          <t>美系券商</t>
        </is>
      </c>
      <c r="F89" s="43" t="inlineStr">
        <is>
          <t>美系升目標</t>
        </is>
      </c>
      <c r="G89" s="43" t="inlineStr">
        <is>
          <t>⭐⭐⭐⭐</t>
        </is>
      </c>
      <c r="H89" s="43" t="inlineStr">
        <is>
          <t>#InP基板 #矽光子</t>
        </is>
      </c>
    </row>
    <row r="90">
      <c r="A90" s="42" t="n">
        <v>89</v>
      </c>
      <c r="B90" s="42" t="inlineStr">
        <is>
          <t>2025/09/26</t>
        </is>
      </c>
      <c r="C90" s="43" t="inlineStr">
        <is>
          <t>旺矽</t>
        </is>
      </c>
      <c r="D90" s="44" t="n">
        <v>6223</v>
      </c>
      <c r="E90" s="43" t="inlineStr">
        <is>
          <t>美系券商</t>
        </is>
      </c>
      <c r="F90" s="43" t="inlineStr">
        <is>
          <t>美系升目標</t>
        </is>
      </c>
      <c r="G90" s="43" t="inlineStr">
        <is>
          <t>⭐⭐⭐⭐</t>
        </is>
      </c>
      <c r="H90" s="43" t="inlineStr">
        <is>
          <t>#MEMS探針 #CPO測試</t>
        </is>
      </c>
    </row>
    <row r="91">
      <c r="A91" s="42" t="n">
        <v>90</v>
      </c>
      <c r="B91" s="42" t="inlineStr">
        <is>
          <t>2025/09/26</t>
        </is>
      </c>
      <c r="C91" s="43" t="inlineStr">
        <is>
          <t>穎崴</t>
        </is>
      </c>
      <c r="D91" s="44" t="n">
        <v>6515</v>
      </c>
      <c r="E91" s="43" t="inlineStr">
        <is>
          <t>美系券商</t>
        </is>
      </c>
      <c r="F91" s="43" t="inlineStr">
        <is>
          <t>美系升目標</t>
        </is>
      </c>
      <c r="G91" s="43" t="inlineStr">
        <is>
          <t>⭐⭐⭐⭐</t>
        </is>
      </c>
      <c r="H91" s="43" t="inlineStr">
        <is>
          <t>#hyper_socket #SLT</t>
        </is>
      </c>
    </row>
    <row r="92">
      <c r="A92" s="42" t="n">
        <v>91</v>
      </c>
      <c r="B92" s="42" t="inlineStr">
        <is>
          <t>2025/09/25</t>
        </is>
      </c>
      <c r="C92" s="43" t="inlineStr">
        <is>
          <t>宏捷科</t>
        </is>
      </c>
      <c r="D92" s="44" t="n">
        <v>8086</v>
      </c>
      <c r="E92" s="43" t="inlineStr">
        <is>
          <t>亞系券商</t>
        </is>
      </c>
      <c r="F92" s="43" t="inlineStr">
        <is>
          <t>亞系升評升目標</t>
        </is>
      </c>
      <c r="G92" s="43" t="inlineStr">
        <is>
          <t>⭐⭐⭐⭐</t>
        </is>
      </c>
      <c r="H92" s="43" t="inlineStr">
        <is>
          <t>#RF #GaAs #三星</t>
        </is>
      </c>
    </row>
    <row r="93">
      <c r="A93" s="42" t="n">
        <v>92</v>
      </c>
      <c r="B93" s="42" t="inlineStr">
        <is>
          <t>2025/09/25</t>
        </is>
      </c>
      <c r="C93" s="43" t="inlineStr">
        <is>
          <t>南電</t>
        </is>
      </c>
      <c r="D93" s="44" t="n">
        <v>8046</v>
      </c>
      <c r="E93" s="43" t="inlineStr">
        <is>
          <t>亞系券商</t>
        </is>
      </c>
      <c r="F93" s="43" t="inlineStr">
        <is>
          <t>ASP大漲-升目標</t>
        </is>
      </c>
      <c r="G93" s="43" t="inlineStr">
        <is>
          <t>⭐⭐⭐⭐⭐</t>
        </is>
      </c>
      <c r="H93" s="43" t="inlineStr">
        <is>
          <t>#ABF #BT #ASP大漲</t>
        </is>
      </c>
    </row>
    <row r="94">
      <c r="A94" s="42" t="n">
        <v>93</v>
      </c>
      <c r="B94" s="42" t="inlineStr">
        <is>
          <t>2025/09/25</t>
        </is>
      </c>
      <c r="C94" s="43" t="inlineStr">
        <is>
          <t>技嘉</t>
        </is>
      </c>
      <c r="D94" s="44" t="n">
        <v>2376</v>
      </c>
      <c r="E94" s="43" t="inlineStr">
        <is>
          <t>美系券商</t>
        </is>
      </c>
      <c r="F94" s="43" t="inlineStr">
        <is>
          <t>美系升目標</t>
        </is>
      </c>
      <c r="G94" s="43" t="inlineStr">
        <is>
          <t>⭐⭐⭐⭐</t>
        </is>
      </c>
      <c r="H94" s="43" t="inlineStr">
        <is>
          <t>#GB200 #GB300 #Nebius</t>
        </is>
      </c>
    </row>
    <row r="95">
      <c r="A95" s="42" t="n">
        <v>94</v>
      </c>
      <c r="B95" s="42" t="inlineStr">
        <is>
          <t>2025/09/19</t>
        </is>
      </c>
      <c r="C95" s="43" t="inlineStr">
        <is>
          <t>環球晶</t>
        </is>
      </c>
      <c r="D95" s="44" t="n">
        <v>6488</v>
      </c>
      <c r="E95" s="43" t="inlineStr">
        <is>
          <t>美系券商</t>
        </is>
      </c>
      <c r="F95" s="43" t="inlineStr">
        <is>
          <t>美系升評升目標</t>
        </is>
      </c>
      <c r="G95" s="43" t="inlineStr">
        <is>
          <t>⭐⭐⭐⭐</t>
        </is>
      </c>
      <c r="H95" s="43" t="inlineStr">
        <is>
          <t>#矽晶圓 #漲價 #12吋SiC</t>
        </is>
      </c>
    </row>
    <row r="96">
      <c r="A96" s="42" t="n">
        <v>95</v>
      </c>
      <c r="B96" s="42" t="inlineStr">
        <is>
          <t>2025/09/19</t>
        </is>
      </c>
      <c r="C96" s="43" t="inlineStr">
        <is>
          <t>富世達</t>
        </is>
      </c>
      <c r="D96" s="44" t="n">
        <v>6805</v>
      </c>
      <c r="E96" s="43" t="inlineStr">
        <is>
          <t>美系券商</t>
        </is>
      </c>
      <c r="F96" s="43" t="inlineStr">
        <is>
          <t>折疊機-升目標</t>
        </is>
      </c>
      <c r="G96" s="43" t="inlineStr">
        <is>
          <t>⭐⭐⭐⭐</t>
        </is>
      </c>
      <c r="H96" s="43" t="inlineStr">
        <is>
          <t>#折疊機 #華為</t>
        </is>
      </c>
    </row>
    <row r="97">
      <c r="A97" s="42" t="n">
        <v>96</v>
      </c>
      <c r="B97" s="42" t="inlineStr">
        <is>
          <t>2025/09/17</t>
        </is>
      </c>
      <c r="C97" s="43" t="inlineStr">
        <is>
          <t>神達</t>
        </is>
      </c>
      <c r="D97" s="44" t="n">
        <v>3706</v>
      </c>
      <c r="E97" s="43" t="inlineStr">
        <is>
          <t>美系券商</t>
        </is>
      </c>
      <c r="F97" s="43" t="inlineStr">
        <is>
          <t>美系升目標</t>
        </is>
      </c>
      <c r="G97" s="43" t="inlineStr">
        <is>
          <t>⭐⭐⭐⭐</t>
        </is>
      </c>
      <c r="H97" s="43" t="inlineStr">
        <is>
          <t>#switch #800G</t>
        </is>
      </c>
    </row>
    <row r="98">
      <c r="A98" s="42" t="n">
        <v>97</v>
      </c>
      <c r="B98" s="42" t="inlineStr">
        <is>
          <t>2025/09/11</t>
        </is>
      </c>
      <c r="C98" s="43" t="inlineStr">
        <is>
          <t>臻鼎</t>
        </is>
      </c>
      <c r="D98" s="44" t="n">
        <v>4958</v>
      </c>
      <c r="E98" s="43" t="inlineStr">
        <is>
          <t>美系券商</t>
        </is>
      </c>
      <c r="F98" s="43" t="inlineStr">
        <is>
          <t>美系升目標</t>
        </is>
      </c>
      <c r="G98" s="43" t="inlineStr">
        <is>
          <t>⭐⭐⭐⭐⭐</t>
        </is>
      </c>
      <c r="H98" s="43" t="inlineStr">
        <is>
          <t>#AI_PCB #Rubin #T-glass</t>
        </is>
      </c>
    </row>
    <row r="99">
      <c r="A99" s="42" t="n">
        <v>98</v>
      </c>
      <c r="B99" s="42" t="inlineStr">
        <is>
          <t>2025/09/05</t>
        </is>
      </c>
      <c r="C99" s="43" t="inlineStr">
        <is>
          <t>中興電</t>
        </is>
      </c>
      <c r="D99" s="44" t="n">
        <v>1513</v>
      </c>
      <c r="E99" s="43" t="inlineStr">
        <is>
          <t>美系券商</t>
        </is>
      </c>
      <c r="F99" s="43" t="inlineStr">
        <is>
          <t>美系初評正向</t>
        </is>
      </c>
      <c r="G99" s="43" t="inlineStr">
        <is>
          <t>⭐⭐⭐⭐</t>
        </is>
      </c>
      <c r="H99" s="43" t="inlineStr">
        <is>
          <t>#GIS系統 #台電</t>
        </is>
      </c>
    </row>
    <row r="100">
      <c r="A100" s="42" t="n">
        <v>99</v>
      </c>
      <c r="B100" s="42" t="inlineStr">
        <is>
          <t>2025/08/29</t>
        </is>
      </c>
      <c r="C100" s="43" t="inlineStr">
        <is>
          <t>上詮</t>
        </is>
      </c>
      <c r="D100" s="44" t="n">
        <v>3363</v>
      </c>
      <c r="E100" s="43" t="inlineStr">
        <is>
          <t>美系券商</t>
        </is>
      </c>
      <c r="F100" s="43" t="inlineStr">
        <is>
          <t>解讀NVDA財報</t>
        </is>
      </c>
      <c r="G100" s="43" t="inlineStr">
        <is>
          <t>⭐⭐⭐⭐</t>
        </is>
      </c>
      <c r="H100" s="43" t="inlineStr">
        <is>
          <t>#NVDA #CPO</t>
        </is>
      </c>
    </row>
    <row r="101">
      <c r="A101" s="43" t="n">
        <v>100</v>
      </c>
      <c r="B101" s="43" t="inlineStr">
        <is>
          <t>2025/08/28</t>
        </is>
      </c>
      <c r="C101" s="44" t="inlineStr">
        <is>
          <t>迅銷</t>
        </is>
      </c>
      <c r="D101" s="42" t="n">
        <v>9983</v>
      </c>
      <c r="E101" s="44" t="inlineStr">
        <is>
          <t>日系券商</t>
        </is>
      </c>
      <c r="F101" s="44" t="inlineStr">
        <is>
          <t>AI股票策略</t>
        </is>
      </c>
      <c r="G101" s="44" t="inlineStr">
        <is>
          <t>⭐⭐⭐⭐</t>
        </is>
      </c>
      <c r="H101" s="44" t="inlineStr">
        <is>
          <t>#AI應用 #生成式AI #日股</t>
        </is>
      </c>
    </row>
    <row r="102">
      <c r="A102" s="43" t="n">
        <v>101</v>
      </c>
      <c r="B102" s="43" t="inlineStr">
        <is>
          <t>2025/08/28</t>
        </is>
      </c>
      <c r="C102" s="44" t="inlineStr">
        <is>
          <t>Recruit holdings</t>
        </is>
      </c>
      <c r="D102" s="42" t="n">
        <v>6098</v>
      </c>
      <c r="E102" s="44" t="inlineStr">
        <is>
          <t>日系券商</t>
        </is>
      </c>
      <c r="F102" s="44" t="inlineStr">
        <is>
          <t>AI股票策略</t>
        </is>
      </c>
      <c r="G102" s="44" t="inlineStr">
        <is>
          <t>⭐⭐⭐⭐</t>
        </is>
      </c>
      <c r="H102" s="44" t="inlineStr">
        <is>
          <t>#AI應用 #人力資源 #日股</t>
        </is>
      </c>
    </row>
    <row r="103">
      <c r="A103" s="43" t="n">
        <v>102</v>
      </c>
      <c r="B103" s="43" t="inlineStr">
        <is>
          <t>2025/08/28</t>
        </is>
      </c>
      <c r="C103" s="44" t="inlineStr">
        <is>
          <t>Secom</t>
        </is>
      </c>
      <c r="D103" s="42" t="n">
        <v>9753</v>
      </c>
      <c r="E103" s="44" t="inlineStr">
        <is>
          <t>日系券商</t>
        </is>
      </c>
      <c r="F103" s="44" t="inlineStr">
        <is>
          <t>AI股票策略</t>
        </is>
      </c>
      <c r="G103" s="44" t="inlineStr">
        <is>
          <t>⭐⭐⭐⭐</t>
        </is>
      </c>
      <c r="H103" s="44" t="inlineStr">
        <is>
          <t>#AI應用 #監控服務 #日股</t>
        </is>
      </c>
    </row>
    <row r="104">
      <c r="A104" s="43" t="n">
        <v>103</v>
      </c>
      <c r="B104" s="43" t="inlineStr">
        <is>
          <t>2025/08/28</t>
        </is>
      </c>
      <c r="C104" s="44" t="inlineStr">
        <is>
          <t>東京威力科創</t>
        </is>
      </c>
      <c r="D104" s="42" t="n">
        <v>8035</v>
      </c>
      <c r="E104" s="44" t="inlineStr">
        <is>
          <t>日系券商</t>
        </is>
      </c>
      <c r="F104" s="44" t="inlineStr">
        <is>
          <t>半導體生產設備</t>
        </is>
      </c>
      <c r="G104" s="44" t="inlineStr">
        <is>
          <t>⭐⭐⭐⭐</t>
        </is>
      </c>
      <c r="H104" s="44" t="inlineStr">
        <is>
          <t>#半導體設備 #蝕刻 #日股</t>
        </is>
      </c>
    </row>
    <row r="105">
      <c r="A105" s="43" t="n">
        <v>104</v>
      </c>
      <c r="B105" s="43" t="inlineStr">
        <is>
          <t>2025/08/28</t>
        </is>
      </c>
      <c r="C105" s="44" t="inlineStr">
        <is>
          <t>SCREEN</t>
        </is>
      </c>
      <c r="D105" s="42" t="n">
        <v>7735</v>
      </c>
      <c r="E105" s="44" t="inlineStr">
        <is>
          <t>日系券商</t>
        </is>
      </c>
      <c r="F105" s="44" t="inlineStr">
        <is>
          <t>半導體生產設備</t>
        </is>
      </c>
      <c r="G105" s="44" t="inlineStr">
        <is>
          <t>⭐⭐⭐⭐</t>
        </is>
      </c>
      <c r="H105" s="44" t="inlineStr">
        <is>
          <t>#半導體設備 #清洗系統 #日股</t>
        </is>
      </c>
    </row>
    <row r="106">
      <c r="A106" s="43" t="n">
        <v>105</v>
      </c>
      <c r="B106" s="43" t="inlineStr">
        <is>
          <t>2025/08/28</t>
        </is>
      </c>
      <c r="C106" s="44" t="inlineStr">
        <is>
          <t>國際電氣</t>
        </is>
      </c>
      <c r="D106" s="42" t="n">
        <v>6525</v>
      </c>
      <c r="E106" s="44" t="inlineStr">
        <is>
          <t>日系券商</t>
        </is>
      </c>
      <c r="F106" s="44" t="inlineStr">
        <is>
          <t>半導體生產設備</t>
        </is>
      </c>
      <c r="G106" s="44" t="inlineStr">
        <is>
          <t>⭐⭐⭐⭐</t>
        </is>
      </c>
      <c r="H106" s="44" t="inlineStr">
        <is>
          <t>#半導體設備 #日股</t>
        </is>
      </c>
    </row>
    <row r="107">
      <c r="A107" s="43" t="n">
        <v>106</v>
      </c>
      <c r="B107" s="43" t="inlineStr">
        <is>
          <t>2025/08/28</t>
        </is>
      </c>
      <c r="C107" s="44" t="inlineStr">
        <is>
          <t>三菱汽車</t>
        </is>
      </c>
      <c r="D107" s="42" t="n">
        <v>7211</v>
      </c>
      <c r="E107" s="44" t="inlineStr">
        <is>
          <t>美系券商</t>
        </is>
      </c>
      <c r="F107" s="44" t="inlineStr">
        <is>
          <t>下修目標</t>
        </is>
      </c>
      <c r="G107" s="44" t="inlineStr">
        <is>
          <t>⭐⭐⭐</t>
        </is>
      </c>
      <c r="H107" s="44" t="inlineStr">
        <is>
          <t>#汽車 #關稅影響 #日股</t>
        </is>
      </c>
    </row>
    <row r="108">
      <c r="A108" s="43" t="n">
        <v>107</v>
      </c>
      <c r="B108" s="43" t="inlineStr">
        <is>
          <t>2025/08/28</t>
        </is>
      </c>
      <c r="C108" s="44" t="inlineStr">
        <is>
          <t>住友電木</t>
        </is>
      </c>
      <c r="D108" s="42" t="n">
        <v>4203</v>
      </c>
      <c r="E108" s="44" t="inlineStr">
        <is>
          <t>日系券商</t>
        </is>
      </c>
      <c r="F108" s="44" t="inlineStr">
        <is>
          <t>升目標</t>
        </is>
      </c>
      <c r="G108" s="44" t="inlineStr">
        <is>
          <t>⭐⭐⭐⭐</t>
        </is>
      </c>
      <c r="H108" s="44" t="inlineStr">
        <is>
          <t>#半導體材料 #醫療 #日股</t>
        </is>
      </c>
    </row>
    <row r="109">
      <c r="A109" s="43" t="n">
        <v>108</v>
      </c>
      <c r="B109" s="43" t="inlineStr">
        <is>
          <t>2025/08/27</t>
        </is>
      </c>
      <c r="C109" s="44" t="inlineStr">
        <is>
          <t>弘塑</t>
        </is>
      </c>
      <c r="D109" s="42" t="n">
        <v>3131</v>
      </c>
      <c r="E109" s="44" t="inlineStr">
        <is>
          <t>澳系券商</t>
        </is>
      </c>
      <c r="F109" s="44" t="inlineStr">
        <is>
          <t>升評升目標</t>
        </is>
      </c>
      <c r="G109" s="44" t="inlineStr">
        <is>
          <t>⭐⭐⭐⭐⭐</t>
        </is>
      </c>
      <c r="H109" s="44" t="inlineStr">
        <is>
          <t>#CoWoS #WMCMM #先進封裝</t>
        </is>
      </c>
    </row>
    <row r="110">
      <c r="A110" s="43" t="n">
        <v>109</v>
      </c>
      <c r="B110" s="43" t="inlineStr">
        <is>
          <t>2025/08/27</t>
        </is>
      </c>
      <c r="C110" s="44" t="inlineStr">
        <is>
          <t>創意</t>
        </is>
      </c>
      <c r="D110" s="42" t="n">
        <v>3443</v>
      </c>
      <c r="E110" s="44" t="inlineStr">
        <is>
          <t>美系大行</t>
        </is>
      </c>
      <c r="F110" s="44" t="inlineStr">
        <is>
          <t>重申正向</t>
        </is>
      </c>
      <c r="G110" s="44" t="inlineStr">
        <is>
          <t>⭐⭐⭐⭐</t>
        </is>
      </c>
      <c r="H110" s="44" t="inlineStr">
        <is>
          <t>#ASIC #AI晶片設計 #Meta</t>
        </is>
      </c>
    </row>
    <row r="111">
      <c r="A111" s="43" t="n">
        <v>110</v>
      </c>
      <c r="B111" s="43" t="inlineStr">
        <is>
          <t>2025/08/26</t>
        </is>
      </c>
      <c r="C111" s="44" t="inlineStr">
        <is>
          <t>南電</t>
        </is>
      </c>
      <c r="D111" s="42" t="n">
        <v>8046</v>
      </c>
      <c r="E111" s="44" t="inlineStr">
        <is>
          <t>美系券商</t>
        </is>
      </c>
      <c r="F111" s="44" t="inlineStr">
        <is>
          <t>ABF產業-升評</t>
        </is>
      </c>
      <c r="G111" s="44" t="inlineStr">
        <is>
          <t>⭐⭐⭐⭐⭐</t>
        </is>
      </c>
      <c r="H111" s="44" t="inlineStr">
        <is>
          <t>#ABF #BT #T-glass短缺 #漲價</t>
        </is>
      </c>
    </row>
    <row r="112">
      <c r="A112" s="43" t="n">
        <v>111</v>
      </c>
      <c r="B112" s="43" t="inlineStr">
        <is>
          <t>2025/08/26</t>
        </is>
      </c>
      <c r="C112" s="44" t="inlineStr">
        <is>
          <t>景碩</t>
        </is>
      </c>
      <c r="D112" s="42" t="n">
        <v>3189</v>
      </c>
      <c r="E112" s="44" t="inlineStr">
        <is>
          <t>美系券商</t>
        </is>
      </c>
      <c r="F112" s="44" t="inlineStr">
        <is>
          <t>ABF產業-升評</t>
        </is>
      </c>
      <c r="G112" s="44" t="inlineStr">
        <is>
          <t>⭐⭐⭐⭐</t>
        </is>
      </c>
      <c r="H112" s="44" t="inlineStr">
        <is>
          <t>#ABF #BT #漲價</t>
        </is>
      </c>
    </row>
    <row r="113">
      <c r="A113" s="43" t="n">
        <v>112</v>
      </c>
      <c r="B113" s="43" t="inlineStr">
        <is>
          <t>2025/08/26</t>
        </is>
      </c>
      <c r="C113" s="44" t="inlineStr">
        <is>
          <t>臻鼎</t>
        </is>
      </c>
      <c r="D113" s="42" t="n">
        <v>4958</v>
      </c>
      <c r="E113" s="44" t="inlineStr">
        <is>
          <t>美系券商</t>
        </is>
      </c>
      <c r="F113" s="44" t="inlineStr">
        <is>
          <t>ABF產業-升目標</t>
        </is>
      </c>
      <c r="G113" s="44" t="inlineStr">
        <is>
          <t>⭐⭐⭐⭐</t>
        </is>
      </c>
      <c r="H113" s="44" t="inlineStr">
        <is>
          <t>#ABF #BT</t>
        </is>
      </c>
    </row>
    <row r="114">
      <c r="A114" s="43" t="n">
        <v>113</v>
      </c>
      <c r="B114" s="43" t="inlineStr">
        <is>
          <t>2025/08/26</t>
        </is>
      </c>
      <c r="C114" s="44" t="inlineStr">
        <is>
          <t>欣興</t>
        </is>
      </c>
      <c r="D114" s="42" t="n">
        <v>3037</v>
      </c>
      <c r="E114" s="44" t="inlineStr">
        <is>
          <t>美系券商</t>
        </is>
      </c>
      <c r="F114" s="44" t="inlineStr">
        <is>
          <t>ABF產業-升目標</t>
        </is>
      </c>
      <c r="G114" s="44" t="inlineStr">
        <is>
          <t>⭐⭐⭐⭐</t>
        </is>
      </c>
      <c r="H114" s="44" t="inlineStr">
        <is>
          <t>#ABF #BT</t>
        </is>
      </c>
    </row>
    <row r="115">
      <c r="A115" s="43" t="n">
        <v>114</v>
      </c>
      <c r="B115" s="43" t="inlineStr">
        <is>
          <t>2025/08/26</t>
        </is>
      </c>
      <c r="C115" s="44" t="inlineStr">
        <is>
          <t>啓碁</t>
        </is>
      </c>
      <c r="D115" s="42" t="n">
        <v>6285</v>
      </c>
      <c r="E115" s="44" t="inlineStr">
        <is>
          <t>美系券商</t>
        </is>
      </c>
      <c r="F115" s="44" t="inlineStr">
        <is>
          <t>升目標</t>
        </is>
      </c>
      <c r="G115" s="44" t="inlineStr">
        <is>
          <t>⭐⭐⭐⭐</t>
        </is>
      </c>
      <c r="H115" s="44" t="inlineStr">
        <is>
          <t>#網通 #WiFi7 #800G #車用</t>
        </is>
      </c>
    </row>
    <row r="116">
      <c r="A116" s="43" t="n">
        <v>115</v>
      </c>
      <c r="B116" s="43" t="inlineStr">
        <is>
          <t>2025/08/26</t>
        </is>
      </c>
      <c r="C116" s="44" t="inlineStr">
        <is>
          <t>全新</t>
        </is>
      </c>
      <c r="D116" s="42" t="n">
        <v>2455</v>
      </c>
      <c r="E116" s="44" t="inlineStr">
        <is>
          <t>亞系券商</t>
        </is>
      </c>
      <c r="F116" s="44" t="inlineStr">
        <is>
          <t>升目標</t>
        </is>
      </c>
      <c r="G116" s="44" t="inlineStr">
        <is>
          <t>⭐⭐⭐⭐</t>
        </is>
      </c>
      <c r="H116" s="44" t="inlineStr">
        <is>
          <t>#InP基板 #微電子 #漲價</t>
        </is>
      </c>
    </row>
    <row r="117">
      <c r="A117" s="42" t="n">
        <v>116</v>
      </c>
      <c r="B117" s="43" t="inlineStr">
        <is>
          <t>2025/08/20</t>
        </is>
      </c>
      <c r="C117" s="44" t="inlineStr">
        <is>
          <t>神達</t>
        </is>
      </c>
      <c r="D117" s="42" t="n">
        <v>3706</v>
      </c>
      <c r="E117" s="44" t="inlineStr">
        <is>
          <t>美系券商</t>
        </is>
      </c>
      <c r="F117" s="44" t="inlineStr">
        <is>
          <t>升目標</t>
        </is>
      </c>
      <c r="G117" s="44" t="inlineStr">
        <is>
          <t>⭐⭐⭐⭐</t>
        </is>
      </c>
      <c r="H117" s="44" t="inlineStr">
        <is>
          <t>#AI伺服器 #產能擴充</t>
        </is>
      </c>
    </row>
    <row r="118">
      <c r="A118" s="42" t="n">
        <v>117</v>
      </c>
      <c r="B118" s="43" t="inlineStr">
        <is>
          <t>2025/08/20</t>
        </is>
      </c>
      <c r="C118" s="44" t="inlineStr">
        <is>
          <t>貿聯</t>
        </is>
      </c>
      <c r="D118" s="42" t="n">
        <v>3665</v>
      </c>
      <c r="E118" s="44" t="inlineStr">
        <is>
          <t>美系大行</t>
        </is>
      </c>
      <c r="F118" s="44" t="inlineStr">
        <is>
          <t>升目標</t>
        </is>
      </c>
      <c r="G118" s="44" t="inlineStr">
        <is>
          <t>⭐⭐⭐⭐⭐</t>
        </is>
      </c>
      <c r="H118" s="44" t="inlineStr">
        <is>
          <t>#AEC #800G #GB系列 #CPO</t>
        </is>
      </c>
    </row>
    <row r="119">
      <c r="A119" s="42" t="n">
        <v>118</v>
      </c>
      <c r="B119" s="43" t="inlineStr">
        <is>
          <t>2025/08/19</t>
        </is>
      </c>
      <c r="C119" s="44" t="inlineStr">
        <is>
          <t>聯亞</t>
        </is>
      </c>
      <c r="D119" s="42" t="n">
        <v>3081</v>
      </c>
      <c r="E119" s="44" t="inlineStr">
        <is>
          <t>美系券商</t>
        </is>
      </c>
      <c r="F119" s="44" t="inlineStr">
        <is>
          <t>升目標</t>
        </is>
      </c>
      <c r="G119" s="44" t="inlineStr">
        <is>
          <t>⭐⭐⭐⭐⭐</t>
        </is>
      </c>
      <c r="H119" s="44" t="inlineStr">
        <is>
          <t>#矽光子 #800G #1.6T #InP基板</t>
        </is>
      </c>
    </row>
    <row r="120">
      <c r="A120" s="42" t="n">
        <v>119</v>
      </c>
      <c r="B120" s="43" t="inlineStr">
        <is>
          <t>2025/08/19</t>
        </is>
      </c>
      <c r="C120" s="44" t="inlineStr">
        <is>
          <t>勤誠</t>
        </is>
      </c>
      <c r="D120" s="42" t="n">
        <v>8210</v>
      </c>
      <c r="E120" s="44" t="inlineStr">
        <is>
          <t>美系券商</t>
        </is>
      </c>
      <c r="F120" s="44" t="inlineStr">
        <is>
          <t>升目標</t>
        </is>
      </c>
      <c r="G120" s="44" t="inlineStr">
        <is>
          <t>⭐⭐⭐⭐</t>
        </is>
      </c>
      <c r="H120" s="44" t="inlineStr">
        <is>
          <t>#ASIC #AI伺服器 #機殼 #降噪</t>
        </is>
      </c>
    </row>
    <row r="121">
      <c r="A121" s="42" t="n">
        <v>120</v>
      </c>
      <c r="B121" s="43" t="inlineStr">
        <is>
          <t>2025/08/19</t>
        </is>
      </c>
      <c r="C121" s="44" t="inlineStr">
        <is>
          <t>華邦電</t>
        </is>
      </c>
      <c r="D121" s="42" t="n">
        <v>2344</v>
      </c>
      <c r="E121" s="44" t="inlineStr">
        <is>
          <t>美系大行</t>
        </is>
      </c>
      <c r="F121" s="44" t="inlineStr">
        <is>
          <t>重申正向</t>
        </is>
      </c>
      <c r="G121" s="44" t="inlineStr">
        <is>
          <t>⭐⭐⭐⭐</t>
        </is>
      </c>
      <c r="H121" s="44" t="inlineStr">
        <is>
          <t>#NOR #DDR4 #漲價 #供不應求</t>
        </is>
      </c>
    </row>
    <row r="122">
      <c r="A122" s="42" t="n">
        <v>121</v>
      </c>
      <c r="B122" s="43" t="inlineStr">
        <is>
          <t>2025/08/18</t>
        </is>
      </c>
      <c r="C122" s="44" t="inlineStr">
        <is>
          <t>鴻準</t>
        </is>
      </c>
      <c r="D122" s="42" t="n">
        <v>2354</v>
      </c>
      <c r="E122" s="44" t="inlineStr">
        <is>
          <t>美系券商</t>
        </is>
      </c>
      <c r="F122" s="44" t="inlineStr">
        <is>
          <t>液冷正面</t>
        </is>
      </c>
      <c r="G122" s="44" t="inlineStr">
        <is>
          <t>⭐⭐⭐⭐</t>
        </is>
      </c>
      <c r="H122" s="44" t="inlineStr">
        <is>
          <t>#液冷 #遊戲機</t>
        </is>
      </c>
    </row>
    <row r="123">
      <c r="A123" s="42" t="n">
        <v>122</v>
      </c>
      <c r="B123" s="43" t="inlineStr">
        <is>
          <t>2025/08/18</t>
        </is>
      </c>
      <c r="C123" s="44" t="inlineStr">
        <is>
          <t>英業達</t>
        </is>
      </c>
      <c r="D123" s="42" t="n">
        <v>2356</v>
      </c>
      <c r="E123" s="44" t="inlineStr">
        <is>
          <t>美系券商</t>
        </is>
      </c>
      <c r="F123" s="44" t="inlineStr">
        <is>
          <t>持中性</t>
        </is>
      </c>
      <c r="G123" s="44" t="inlineStr">
        <is>
          <t>⭐⭐⭐</t>
        </is>
      </c>
      <c r="H123" s="44" t="inlineStr">
        <is>
          <t>#AI伺服器 #主機板 #平台切換</t>
        </is>
      </c>
    </row>
    <row r="124">
      <c r="A124" s="42" t="n">
        <v>123</v>
      </c>
      <c r="B124" s="43" t="inlineStr">
        <is>
          <t>2025/08/18</t>
        </is>
      </c>
      <c r="C124" s="44" t="inlineStr">
        <is>
          <t>和碩</t>
        </is>
      </c>
      <c r="D124" s="42" t="n">
        <v>4938</v>
      </c>
      <c r="E124" s="44" t="inlineStr">
        <is>
          <t>亞系券商</t>
        </is>
      </c>
      <c r="F124" s="44" t="inlineStr">
        <is>
          <t>降評</t>
        </is>
      </c>
      <c r="G124" s="44" t="inlineStr">
        <is>
          <t>⭐⭐</t>
        </is>
      </c>
      <c r="H124" s="44" t="inlineStr">
        <is>
          <t>#PC疲弱 #GB300延後</t>
        </is>
      </c>
    </row>
    <row r="125">
      <c r="A125" s="42" t="n">
        <v>124</v>
      </c>
      <c r="B125" s="43" t="inlineStr">
        <is>
          <t>2025/08/15</t>
        </is>
      </c>
      <c r="C125" s="44" t="inlineStr">
        <is>
          <t>台燿</t>
        </is>
      </c>
      <c r="D125" s="42" t="n">
        <v>6274</v>
      </c>
      <c r="E125" s="44" t="inlineStr">
        <is>
          <t>美系券商</t>
        </is>
      </c>
      <c r="F125" s="44" t="inlineStr">
        <is>
          <t>法說會-重申正向</t>
        </is>
      </c>
      <c r="G125" s="44" t="inlineStr">
        <is>
          <t>⭐⭐⭐⭐⭐</t>
        </is>
      </c>
      <c r="H125" s="44" t="inlineStr">
        <is>
          <t>#ASIC #M8 #M9 #泰國廠 #800G</t>
        </is>
      </c>
    </row>
    <row r="126">
      <c r="A126" s="42" t="n">
        <v>125</v>
      </c>
      <c r="B126" s="43" t="inlineStr">
        <is>
          <t>2025/08/15</t>
        </is>
      </c>
      <c r="C126" s="44" t="inlineStr">
        <is>
          <t>富世達</t>
        </is>
      </c>
      <c r="D126" s="42" t="n">
        <v>6805</v>
      </c>
      <c r="E126" s="44" t="inlineStr">
        <is>
          <t>美系券商</t>
        </is>
      </c>
      <c r="F126" s="44" t="inlineStr">
        <is>
          <t>升目標</t>
        </is>
      </c>
      <c r="G126" s="44" t="inlineStr">
        <is>
          <t>⭐⭐⭐⭐⭐</t>
        </is>
      </c>
      <c r="H126" s="44" t="inlineStr">
        <is>
          <t>#滑軌 #QD #GB200 #GB300 #ASIC</t>
        </is>
      </c>
    </row>
    <row r="127">
      <c r="A127" s="42" t="n">
        <v>126</v>
      </c>
      <c r="B127" s="43" t="inlineStr">
        <is>
          <t>2025/08/15</t>
        </is>
      </c>
      <c r="C127" s="44" t="inlineStr">
        <is>
          <t>鴻海</t>
        </is>
      </c>
      <c r="D127" s="42" t="n">
        <v>2317</v>
      </c>
      <c r="E127" s="44" t="inlineStr">
        <is>
          <t>美系券商</t>
        </is>
      </c>
      <c r="F127" s="44" t="inlineStr">
        <is>
          <t>升目標</t>
        </is>
      </c>
      <c r="G127" s="44" t="inlineStr">
        <is>
          <t>⭐⭐⭐⭐⭐</t>
        </is>
      </c>
      <c r="H127" s="44" t="inlineStr">
        <is>
          <t>#AI伺服器 #毛利率提升</t>
        </is>
      </c>
    </row>
    <row r="128">
      <c r="A128" s="42" t="n">
        <v>127</v>
      </c>
      <c r="B128" s="43" t="inlineStr">
        <is>
          <t>2025/08/15</t>
        </is>
      </c>
      <c r="C128" s="44" t="inlineStr">
        <is>
          <t>群聯</t>
        </is>
      </c>
      <c r="D128" s="42" t="n">
        <v>8299</v>
      </c>
      <c r="E128" s="44" t="inlineStr">
        <is>
          <t>美系大行</t>
        </is>
      </c>
      <c r="F128" s="44" t="inlineStr">
        <is>
          <t>法說會-升目標</t>
        </is>
      </c>
      <c r="G128" s="44" t="inlineStr">
        <is>
          <t>⭐⭐⭐⭐⭐</t>
        </is>
      </c>
      <c r="H128" s="44" t="inlineStr">
        <is>
          <t>#NAND #供不應求 #漲價 #Switch2</t>
        </is>
      </c>
    </row>
    <row r="129">
      <c r="A129" s="42" t="n">
        <v>128</v>
      </c>
      <c r="B129" s="43" t="inlineStr">
        <is>
          <t>2025/08/15</t>
        </is>
      </c>
      <c r="C129" s="44" t="inlineStr">
        <is>
          <t>矽力KY</t>
        </is>
      </c>
      <c r="D129" s="42" t="n">
        <v>6415</v>
      </c>
      <c r="E129" s="44" t="inlineStr">
        <is>
          <t>美系大行</t>
        </is>
      </c>
      <c r="F129" s="44" t="inlineStr">
        <is>
          <t>降目標</t>
        </is>
      </c>
      <c r="G129" s="44" t="inlineStr">
        <is>
          <t>⭐⭐⭐</t>
        </is>
      </c>
      <c r="H129" s="44" t="inlineStr">
        <is>
          <t>#類比IC #觸底 #市佔率提升</t>
        </is>
      </c>
    </row>
    <row r="130">
      <c r="A130" s="42" t="n">
        <v>129</v>
      </c>
      <c r="B130" s="43" t="inlineStr">
        <is>
          <t>2025/08/14</t>
        </is>
      </c>
      <c r="C130" s="44" t="inlineStr">
        <is>
          <t>奇鋐</t>
        </is>
      </c>
      <c r="D130" s="42" t="n">
        <v>3017</v>
      </c>
      <c r="E130" s="44" t="inlineStr">
        <is>
          <t>美系大行</t>
        </is>
      </c>
      <c r="F130" s="44" t="inlineStr">
        <is>
          <t>法說會-升目標</t>
        </is>
      </c>
      <c r="G130" s="44" t="inlineStr">
        <is>
          <t>⭐⭐⭐⭐⭐</t>
        </is>
      </c>
      <c r="H130" s="44" t="inlineStr">
        <is>
          <t>#散熱 #機殼 #伺服器機架 #降噪</t>
        </is>
      </c>
    </row>
    <row r="131">
      <c r="A131" s="42" t="n">
        <v>130</v>
      </c>
      <c r="B131" s="43" t="inlineStr">
        <is>
          <t>2025/08/14</t>
        </is>
      </c>
      <c r="C131" s="44" t="inlineStr">
        <is>
          <t>台燿</t>
        </is>
      </c>
      <c r="D131" s="42" t="n">
        <v>6274</v>
      </c>
      <c r="E131" s="44" t="inlineStr">
        <is>
          <t>亞系美系券商</t>
        </is>
      </c>
      <c r="F131" s="44" t="inlineStr">
        <is>
          <t>雙升目標</t>
        </is>
      </c>
      <c r="G131" s="44" t="inlineStr">
        <is>
          <t>⭐⭐⭐⭐⭐</t>
        </is>
      </c>
      <c r="H131" s="44" t="inlineStr">
        <is>
          <t>#泰國擴廠 #產能擴充 #M7 #M8</t>
        </is>
      </c>
    </row>
    <row r="132">
      <c r="A132" s="42" t="n">
        <v>131</v>
      </c>
      <c r="B132" s="43" t="inlineStr">
        <is>
          <t>2025/08/14</t>
        </is>
      </c>
      <c r="C132" s="44" t="inlineStr">
        <is>
          <t>華碩</t>
        </is>
      </c>
      <c r="D132" s="42" t="n">
        <v>2357</v>
      </c>
      <c r="E132" s="44" t="inlineStr">
        <is>
          <t>亞系歐系券商</t>
        </is>
      </c>
      <c r="F132" s="44" t="inlineStr">
        <is>
          <t>降評</t>
        </is>
      </c>
      <c r="G132" s="44" t="inlineStr">
        <is>
          <t>⭐⭐</t>
        </is>
      </c>
      <c r="H132" s="44" t="inlineStr">
        <is>
          <t>#PC拉貨 #毛利率壓力</t>
        </is>
      </c>
    </row>
    <row r="133">
      <c r="A133" s="42" t="n">
        <v>132</v>
      </c>
      <c r="B133" s="43" t="inlineStr">
        <is>
          <t>2025/08/13</t>
        </is>
      </c>
      <c r="C133" s="44" t="inlineStr">
        <is>
          <t>臻鼎</t>
        </is>
      </c>
      <c r="D133" s="42" t="n">
        <v>4958</v>
      </c>
      <c r="E133" s="44" t="inlineStr">
        <is>
          <t>美系券商</t>
        </is>
      </c>
      <c r="F133" s="44" t="inlineStr">
        <is>
          <t>法說會-升目標</t>
        </is>
      </c>
      <c r="G133" s="44" t="inlineStr">
        <is>
          <t>⭐⭐⭐⭐⭐</t>
        </is>
      </c>
      <c r="H133" s="44" t="inlineStr">
        <is>
          <t>#AI伺服器PCB #液冷 #ABF #BT</t>
        </is>
      </c>
    </row>
    <row r="134">
      <c r="A134" s="42" t="n">
        <v>133</v>
      </c>
      <c r="B134" s="43" t="inlineStr">
        <is>
          <t>2025/08/13</t>
        </is>
      </c>
      <c r="C134" s="44" t="inlineStr">
        <is>
          <t>京元電</t>
        </is>
      </c>
      <c r="D134" s="42" t="n">
        <v>2449</v>
      </c>
      <c r="E134" s="44" t="inlineStr">
        <is>
          <t>美系大行</t>
        </is>
      </c>
      <c r="F134" s="44" t="inlineStr">
        <is>
          <t>重申正向</t>
        </is>
      </c>
      <c r="G134" s="44" t="inlineStr">
        <is>
          <t>⭐⭐⭐⭐⭐</t>
        </is>
      </c>
      <c r="H134" s="44" t="inlineStr">
        <is>
          <t>#ASIC測試 #burn-in #漲價 #市佔提升</t>
        </is>
      </c>
    </row>
    <row r="135">
      <c r="A135" s="42" t="n">
        <v>134</v>
      </c>
      <c r="B135" s="43" t="inlineStr">
        <is>
          <t>2025/08/13</t>
        </is>
      </c>
      <c r="C135" s="44" t="inlineStr">
        <is>
          <t>鴻準</t>
        </is>
      </c>
      <c r="D135" s="42" t="n">
        <v>2354</v>
      </c>
      <c r="E135" s="44" t="inlineStr">
        <is>
          <t>美系大行</t>
        </is>
      </c>
      <c r="F135" s="44" t="inlineStr">
        <is>
          <t>升目標</t>
        </is>
      </c>
      <c r="G135" s="44" t="inlineStr">
        <is>
          <t>⭐⭐⭐</t>
        </is>
      </c>
      <c r="H135" s="44" t="inlineStr">
        <is>
          <t>#水冷 #GB200 #遊戲機 #Switch2延後</t>
        </is>
      </c>
    </row>
    <row r="136">
      <c r="A136" s="42" t="n">
        <v>135</v>
      </c>
      <c r="B136" s="43" t="inlineStr">
        <is>
          <t>2025/08/13</t>
        </is>
      </c>
      <c r="C136" s="44" t="inlineStr">
        <is>
          <t>廣達</t>
        </is>
      </c>
      <c r="D136" s="42" t="n">
        <v>2382</v>
      </c>
      <c r="E136" s="44" t="inlineStr">
        <is>
          <t>美系大行</t>
        </is>
      </c>
      <c r="F136" s="44" t="inlineStr">
        <is>
          <t>微修目標</t>
        </is>
      </c>
      <c r="G136" s="44" t="inlineStr">
        <is>
          <t>⭐⭐⭐⭐</t>
        </is>
      </c>
      <c r="H136" s="44" t="inlineStr">
        <is>
          <t>#AI伺服器 #GB300 #產品轉換</t>
        </is>
      </c>
    </row>
    <row r="137">
      <c r="A137" s="42" t="n">
        <v>136</v>
      </c>
      <c r="B137" s="43" t="inlineStr">
        <is>
          <t>2025/08/13</t>
        </is>
      </c>
      <c r="C137" s="44" t="inlineStr">
        <is>
          <t>緯創</t>
        </is>
      </c>
      <c r="D137" s="42" t="n">
        <v>3231</v>
      </c>
      <c r="E137" s="44" t="inlineStr">
        <is>
          <t>美系券商</t>
        </is>
      </c>
      <c r="F137" s="44" t="inlineStr">
        <is>
          <t>重申正向</t>
        </is>
      </c>
      <c r="G137" s="44" t="inlineStr">
        <is>
          <t>⭐⭐⭐⭐</t>
        </is>
      </c>
      <c r="H137" s="44" t="inlineStr">
        <is>
          <t>#AI伺服器 #NB上修</t>
        </is>
      </c>
    </row>
    <row r="138">
      <c r="A138" s="42" t="n">
        <v>137</v>
      </c>
      <c r="B138" s="43" t="inlineStr">
        <is>
          <t>2025/08/13</t>
        </is>
      </c>
      <c r="C138" s="44" t="inlineStr">
        <is>
          <t>英業達</t>
        </is>
      </c>
      <c r="D138" s="42" t="n">
        <v>2356</v>
      </c>
      <c r="E138" s="44" t="inlineStr">
        <is>
          <t>澳系券商</t>
        </is>
      </c>
      <c r="F138" s="44" t="inlineStr">
        <is>
          <t>重申保守</t>
        </is>
      </c>
      <c r="G138" s="44" t="inlineStr">
        <is>
          <t>⭐⭐⭐</t>
        </is>
      </c>
      <c r="H138" s="44" t="inlineStr">
        <is>
          <t>#產品組合轉換 #ASP下降</t>
        </is>
      </c>
    </row>
    <row r="139">
      <c r="A139" s="42" t="n">
        <v>138</v>
      </c>
      <c r="B139" s="43" t="inlineStr">
        <is>
          <t>2025/08/13</t>
        </is>
      </c>
      <c r="C139" s="44" t="inlineStr">
        <is>
          <t>仁寶</t>
        </is>
      </c>
      <c r="D139" s="42" t="n">
        <v>2324</v>
      </c>
      <c r="E139" s="44" t="inlineStr">
        <is>
          <t>亞系券商</t>
        </is>
      </c>
      <c r="F139" s="44" t="inlineStr">
        <is>
          <t>修目標</t>
        </is>
      </c>
      <c r="G139" s="44" t="inlineStr">
        <is>
          <t>⭐⭐⭐</t>
        </is>
      </c>
      <c r="H139" s="44" t="inlineStr">
        <is>
          <t>#NB #Chromebook #市佔下滑</t>
        </is>
      </c>
    </row>
    <row r="140">
      <c r="A140" s="42" t="n">
        <v>139</v>
      </c>
      <c r="B140" s="43" t="inlineStr">
        <is>
          <t>2025/08/12</t>
        </is>
      </c>
      <c r="C140" s="44" t="inlineStr">
        <is>
          <t>緯穎</t>
        </is>
      </c>
      <c r="D140" s="42" t="n">
        <v>6669</v>
      </c>
      <c r="E140" s="44" t="inlineStr">
        <is>
          <t>美系券商</t>
        </is>
      </c>
      <c r="F140" s="44" t="inlineStr">
        <is>
          <t>升目標</t>
        </is>
      </c>
      <c r="G140" s="44" t="inlineStr">
        <is>
          <t>⭐⭐⭐⭐⭐</t>
        </is>
      </c>
      <c r="H140" s="44" t="inlineStr">
        <is>
          <t>#ASIC伺服器 #毛利率提升</t>
        </is>
      </c>
    </row>
    <row r="141">
      <c r="A141" s="42" t="n">
        <v>140</v>
      </c>
      <c r="B141" s="43" t="inlineStr">
        <is>
          <t>2025/08/12</t>
        </is>
      </c>
      <c r="C141" s="44" t="inlineStr">
        <is>
          <t>新日興</t>
        </is>
      </c>
      <c r="D141" s="42" t="n">
        <v>3376</v>
      </c>
      <c r="E141" s="44" t="inlineStr">
        <is>
          <t>美系券商</t>
        </is>
      </c>
      <c r="F141" s="44" t="inlineStr">
        <is>
          <t>降目標</t>
        </is>
      </c>
      <c r="G141" s="44" t="inlineStr">
        <is>
          <t>⭐⭐⭐</t>
        </is>
      </c>
      <c r="H141" s="44" t="inlineStr">
        <is>
          <t>#蘇州新廠 #營收低於預期</t>
        </is>
      </c>
    </row>
    <row r="142">
      <c r="A142" s="42" t="n">
        <v>141</v>
      </c>
      <c r="B142" s="43" t="inlineStr">
        <is>
          <t>2025/08/12</t>
        </is>
      </c>
      <c r="C142" s="44" t="inlineStr">
        <is>
          <t>嘉澤</t>
        </is>
      </c>
      <c r="D142" s="42" t="n">
        <v>3533</v>
      </c>
      <c r="E142" s="44" t="inlineStr">
        <is>
          <t>美系大行</t>
        </is>
      </c>
      <c r="F142" s="44" t="inlineStr">
        <is>
          <t>持中性</t>
        </is>
      </c>
      <c r="G142" s="44" t="inlineStr">
        <is>
          <t>⭐⭐⭐</t>
        </is>
      </c>
      <c r="H142" s="44" t="inlineStr">
        <is>
          <t>#NVQD #SOCAMM #觀察中</t>
        </is>
      </c>
    </row>
    <row r="143">
      <c r="A143" s="42" t="n">
        <v>142</v>
      </c>
      <c r="B143" s="43" t="inlineStr">
        <is>
          <t>2025/08/11</t>
        </is>
      </c>
      <c r="C143" s="44" t="inlineStr">
        <is>
          <t>京元電</t>
        </is>
      </c>
      <c r="D143" s="42" t="n">
        <v>2449</v>
      </c>
      <c r="E143" s="44" t="inlineStr">
        <is>
          <t>美系大行</t>
        </is>
      </c>
      <c r="F143" s="44" t="inlineStr">
        <is>
          <t>升目標</t>
        </is>
      </c>
      <c r="G143" s="44" t="inlineStr">
        <is>
          <t>⭐⭐⭐⭐⭐</t>
        </is>
      </c>
      <c r="H143" s="44" t="inlineStr">
        <is>
          <t>#測試 #XPU #B系列 #R系列 #市佔8成</t>
        </is>
      </c>
    </row>
    <row r="144">
      <c r="A144" s="42" t="n">
        <v>143</v>
      </c>
      <c r="B144" s="43" t="inlineStr">
        <is>
          <t>2025/08/11</t>
        </is>
      </c>
      <c r="C144" s="44" t="inlineStr">
        <is>
          <t>金像電</t>
        </is>
      </c>
      <c r="D144" s="42" t="n">
        <v>2368</v>
      </c>
      <c r="E144" s="44" t="inlineStr">
        <is>
          <t>美系券商</t>
        </is>
      </c>
      <c r="F144" s="44" t="inlineStr">
        <is>
          <t>升目標</t>
        </is>
      </c>
      <c r="G144" s="44" t="inlineStr">
        <is>
          <t>⭐⭐⭐⭐⭐</t>
        </is>
      </c>
      <c r="H144" s="44" t="inlineStr">
        <is>
          <t>#泰國二期 #產能擴充</t>
        </is>
      </c>
    </row>
    <row r="145">
      <c r="A145" s="42" t="n">
        <v>144</v>
      </c>
      <c r="B145" s="43" t="inlineStr">
        <is>
          <t>2025/08/11</t>
        </is>
      </c>
      <c r="C145" s="44" t="inlineStr">
        <is>
          <t>台達電</t>
        </is>
      </c>
      <c r="D145" s="42" t="n">
        <v>2308</v>
      </c>
      <c r="E145" s="44" t="inlineStr">
        <is>
          <t>美系券商</t>
        </is>
      </c>
      <c r="F145" s="44" t="inlineStr">
        <is>
          <t>升目標</t>
        </is>
      </c>
      <c r="G145" s="44" t="inlineStr">
        <is>
          <t>⭐⭐⭐⭐⭐</t>
        </is>
      </c>
      <c r="H145" s="44" t="inlineStr">
        <is>
          <t>#電源 #液冷 #L2L #HVDC</t>
        </is>
      </c>
    </row>
    <row r="146">
      <c r="A146" s="42" t="n">
        <v>145</v>
      </c>
      <c r="B146" s="43" t="inlineStr">
        <is>
          <t>2025/08/11</t>
        </is>
      </c>
      <c r="C146" s="44" t="inlineStr">
        <is>
          <t>緯穎</t>
        </is>
      </c>
      <c r="D146" s="42" t="n">
        <v>6669</v>
      </c>
      <c r="E146" s="44" t="inlineStr">
        <is>
          <t>美系大行</t>
        </is>
      </c>
      <c r="F146" s="44" t="inlineStr">
        <is>
          <t>升目標</t>
        </is>
      </c>
      <c r="G146" s="44" t="inlineStr">
        <is>
          <t>⭐⭐⭐⭐⭐</t>
        </is>
      </c>
      <c r="H146" s="44" t="inlineStr">
        <is>
          <t>#ASIC #GPU #Vera_Rubin</t>
        </is>
      </c>
    </row>
    <row r="147">
      <c r="A147" s="42" t="n">
        <v>146</v>
      </c>
      <c r="B147" s="43" t="inlineStr">
        <is>
          <t>2025/08/11</t>
        </is>
      </c>
      <c r="C147" s="44" t="inlineStr">
        <is>
          <t>微星</t>
        </is>
      </c>
      <c r="D147" s="42" t="n">
        <v>2377</v>
      </c>
      <c r="E147" s="44" t="inlineStr">
        <is>
          <t>亞系券商</t>
        </is>
      </c>
      <c r="F147" s="44" t="inlineStr">
        <is>
          <t>降目標</t>
        </is>
      </c>
      <c r="G147" s="44" t="inlineStr">
        <is>
          <t>⭐⭐</t>
        </is>
      </c>
      <c r="H147" s="44" t="inlineStr">
        <is>
          <t>#匯率影響 #高基期</t>
        </is>
      </c>
    </row>
    <row r="148">
      <c r="A148" s="42" t="n">
        <v>147</v>
      </c>
      <c r="B148" s="43" t="inlineStr">
        <is>
          <t>2025/08/08</t>
        </is>
      </c>
      <c r="C148" s="44" t="inlineStr">
        <is>
          <t>智邦</t>
        </is>
      </c>
      <c r="D148" s="42" t="n">
        <v>2345</v>
      </c>
      <c r="E148" s="44" t="inlineStr">
        <is>
          <t>美系券商</t>
        </is>
      </c>
      <c r="F148" s="44" t="inlineStr">
        <is>
          <t>升目標</t>
        </is>
      </c>
      <c r="G148" s="44" t="inlineStr">
        <is>
          <t>⭐⭐⭐⭐⭐</t>
        </is>
      </c>
      <c r="H148" s="44" t="inlineStr">
        <is>
          <t>#800G #ASP提升 #成本管控</t>
        </is>
      </c>
    </row>
    <row r="149">
      <c r="A149" s="42" t="n">
        <v>148</v>
      </c>
      <c r="B149" s="43" t="inlineStr">
        <is>
          <t>2025/08/08</t>
        </is>
      </c>
      <c r="C149" s="44" t="inlineStr">
        <is>
          <t>奇鋐</t>
        </is>
      </c>
      <c r="D149" s="42" t="n">
        <v>3017</v>
      </c>
      <c r="E149" s="44" t="inlineStr">
        <is>
          <t>美系大行</t>
        </is>
      </c>
      <c r="F149" s="44" t="inlineStr">
        <is>
          <t>七月營收靚</t>
        </is>
      </c>
      <c r="G149" s="44" t="inlineStr">
        <is>
          <t>⭐⭐⭐⭐⭐</t>
        </is>
      </c>
      <c r="H149" s="44" t="inlineStr">
        <is>
          <t>#營收年增90% #超預期</t>
        </is>
      </c>
    </row>
    <row r="150">
      <c r="A150" s="42" t="n">
        <v>149</v>
      </c>
      <c r="B150" s="43" t="inlineStr">
        <is>
          <t>2025/08/08</t>
        </is>
      </c>
      <c r="C150" s="44" t="inlineStr">
        <is>
          <t>元太</t>
        </is>
      </c>
      <c r="D150" s="42" t="n">
        <v>8069</v>
      </c>
      <c r="E150" s="44" t="inlineStr">
        <is>
          <t>美系大行</t>
        </is>
      </c>
      <c r="F150" s="44" t="inlineStr">
        <is>
          <t>升評升目標</t>
        </is>
      </c>
      <c r="G150" s="44" t="inlineStr">
        <is>
          <t>⭐⭐⭐⭐</t>
        </is>
      </c>
      <c r="H150" s="44" t="inlineStr">
        <is>
          <t>#e-paper #ESL #Amazon #彩色閱讀器</t>
        </is>
      </c>
    </row>
    <row r="151">
      <c r="A151" s="42" t="n">
        <v>150</v>
      </c>
      <c r="B151" s="43" t="inlineStr">
        <is>
          <t>2025/08/08</t>
        </is>
      </c>
      <c r="C151" s="44" t="inlineStr">
        <is>
          <t>勤誠</t>
        </is>
      </c>
      <c r="D151" s="42" t="n">
        <v>8210</v>
      </c>
      <c r="E151" s="44" t="inlineStr">
        <is>
          <t>美系大行</t>
        </is>
      </c>
      <c r="F151" s="44" t="inlineStr">
        <is>
          <t>法說會-上修預估</t>
        </is>
      </c>
      <c r="G151" s="44" t="inlineStr">
        <is>
          <t>⭐⭐⭐⭐</t>
        </is>
      </c>
      <c r="H151" s="44" t="inlineStr">
        <is>
          <t>#毛利率優於預期 #匯率影響</t>
        </is>
      </c>
    </row>
    <row r="152">
      <c r="A152" s="42" t="n">
        <v>151</v>
      </c>
      <c r="B152" s="43" t="inlineStr">
        <is>
          <t>2025/08/07</t>
        </is>
      </c>
      <c r="C152" s="44" t="inlineStr">
        <is>
          <t>南電</t>
        </is>
      </c>
      <c r="D152" s="42" t="n">
        <v>8046</v>
      </c>
      <c r="E152" s="44" t="inlineStr">
        <is>
          <t>美系券商</t>
        </is>
      </c>
      <c r="F152" s="44" t="inlineStr">
        <is>
          <t>升評升目標</t>
        </is>
      </c>
      <c r="G152" s="44" t="inlineStr">
        <is>
          <t>⭐⭐⭐⭐⭐</t>
        </is>
      </c>
      <c r="H152" s="44" t="inlineStr">
        <is>
          <t>#BT漲價 #ABF #毛利率提升 #最壞已過</t>
        </is>
      </c>
    </row>
    <row r="153">
      <c r="A153" s="42" t="n">
        <v>152</v>
      </c>
      <c r="B153" s="43" t="inlineStr">
        <is>
          <t>2025/08/07</t>
        </is>
      </c>
      <c r="C153" s="44" t="inlineStr">
        <is>
          <t>勤誠</t>
        </is>
      </c>
      <c r="D153" s="42" t="n">
        <v>8210</v>
      </c>
      <c r="E153" s="44" t="inlineStr">
        <is>
          <t>美系大行</t>
        </is>
      </c>
      <c r="F153" s="44" t="inlineStr">
        <is>
          <t>月營收符合預期</t>
        </is>
      </c>
      <c r="G153" s="44" t="inlineStr">
        <is>
          <t>⭐⭐⭐⭐</t>
        </is>
      </c>
      <c r="H153" s="44" t="inlineStr">
        <is>
          <t>#AI伺服器 #營收符合預期</t>
        </is>
      </c>
    </row>
    <row r="154">
      <c r="A154" s="42" t="n">
        <v>153</v>
      </c>
      <c r="B154" s="43" t="inlineStr">
        <is>
          <t>2025/08/07</t>
        </is>
      </c>
      <c r="C154" s="44" t="inlineStr">
        <is>
          <t>川湖</t>
        </is>
      </c>
      <c r="D154" s="42" t="n">
        <v>2059</v>
      </c>
      <c r="E154" s="44" t="inlineStr">
        <is>
          <t>美系大行</t>
        </is>
      </c>
      <c r="F154" s="44" t="inlineStr">
        <is>
          <t>2Q毛利率靚</t>
        </is>
      </c>
      <c r="G154" s="44" t="inlineStr">
        <is>
          <t>⭐⭐⭐⭐⭐</t>
        </is>
      </c>
      <c r="H154" s="44" t="inlineStr">
        <is>
          <t>#毛利率77.5% #歷史新高</t>
        </is>
      </c>
    </row>
    <row r="155">
      <c r="A155" s="42" t="n">
        <v>154</v>
      </c>
      <c r="B155" s="43" t="inlineStr">
        <is>
          <t>2025/08/07</t>
        </is>
      </c>
      <c r="C155" s="44" t="inlineStr">
        <is>
          <t>聯詠</t>
        </is>
      </c>
      <c r="D155" s="42" t="n">
        <v>3034</v>
      </c>
      <c r="E155" s="44" t="inlineStr">
        <is>
          <t>美系券商</t>
        </is>
      </c>
      <c r="F155" s="44" t="inlineStr">
        <is>
          <t>降目標</t>
        </is>
      </c>
      <c r="G155" s="44" t="inlineStr">
        <is>
          <t>⭐⭐⭐</t>
        </is>
      </c>
      <c r="H155" s="44" t="inlineStr">
        <is>
          <t>#匯率影響 #3Q展望弱</t>
        </is>
      </c>
    </row>
    <row r="156">
      <c r="A156" s="42" t="n">
        <v>155</v>
      </c>
      <c r="B156" s="43" t="inlineStr">
        <is>
          <t>2025/08/07</t>
        </is>
      </c>
      <c r="C156" s="44" t="inlineStr">
        <is>
          <t>華邦電</t>
        </is>
      </c>
      <c r="D156" s="42" t="n">
        <v>2344</v>
      </c>
      <c r="E156" s="44" t="inlineStr">
        <is>
          <t>美系大行</t>
        </is>
      </c>
      <c r="F156" s="44" t="inlineStr">
        <is>
          <t>top pick</t>
        </is>
      </c>
      <c r="G156" s="44" t="inlineStr">
        <is>
          <t>⭐⭐⭐⭐⭐</t>
        </is>
      </c>
      <c r="H156" s="44" t="inlineStr">
        <is>
          <t>#DDR3 #DDR4 #NOR #CUBE #top_pick</t>
        </is>
      </c>
    </row>
    <row r="157">
      <c r="A157" s="42" t="n">
        <v>156</v>
      </c>
      <c r="B157" s="43" t="inlineStr">
        <is>
          <t>2025/08/05</t>
        </is>
      </c>
      <c r="C157" s="44" t="inlineStr">
        <is>
          <t>川湖</t>
        </is>
      </c>
      <c r="D157" s="42" t="n">
        <v>2059</v>
      </c>
      <c r="E157" s="44" t="inlineStr">
        <is>
          <t>美系大行</t>
        </is>
      </c>
      <c r="F157" s="44" t="inlineStr">
        <is>
          <t>升目標</t>
        </is>
      </c>
      <c r="G157" s="44" t="inlineStr">
        <is>
          <t>⭐⭐⭐⭐⭐</t>
        </is>
      </c>
      <c r="H157" s="44" t="inlineStr">
        <is>
          <t>#滑軌 #議價能力 #匯率紓解</t>
        </is>
      </c>
    </row>
    <row r="158">
      <c r="A158" s="42" t="n">
        <v>157</v>
      </c>
      <c r="B158" s="43" t="inlineStr">
        <is>
          <t>2025/08/05</t>
        </is>
      </c>
      <c r="C158" s="44" t="inlineStr">
        <is>
          <t>奇鋐</t>
        </is>
      </c>
      <c r="D158" s="42" t="n">
        <v>3017</v>
      </c>
      <c r="E158" s="44" t="inlineStr">
        <is>
          <t>美系大行</t>
        </is>
      </c>
      <c r="F158" s="44" t="inlineStr">
        <is>
          <t>升目標</t>
        </is>
      </c>
      <c r="G158" s="44" t="inlineStr">
        <is>
          <t>⭐⭐⭐⭐⭐</t>
        </is>
      </c>
      <c r="H158" s="44" t="inlineStr">
        <is>
          <t>#水冷 #贏者全拿 #冷板模組 #GB300 #Vera-Rubin</t>
        </is>
      </c>
    </row>
    <row r="159">
      <c r="A159" s="42" t="n">
        <v>158</v>
      </c>
      <c r="B159" s="43" t="inlineStr">
        <is>
          <t>2025/08/05</t>
        </is>
      </c>
      <c r="C159" s="44" t="inlineStr">
        <is>
          <t>南電</t>
        </is>
      </c>
      <c r="D159" s="42" t="n">
        <v>8046</v>
      </c>
      <c r="E159" s="44" t="inlineStr">
        <is>
          <t>美系大行</t>
        </is>
      </c>
      <c r="F159" s="44" t="inlineStr">
        <is>
          <t>7月營收超預期</t>
        </is>
      </c>
      <c r="G159" s="44" t="inlineStr">
        <is>
          <t>⭐⭐⭐⭐</t>
        </is>
      </c>
      <c r="H159" s="44" t="inlineStr">
        <is>
          <t>#BT漲價 #ABF #Apple</t>
        </is>
      </c>
    </row>
    <row r="160">
      <c r="A160" s="42" t="n">
        <v>159</v>
      </c>
      <c r="B160" s="43" t="inlineStr">
        <is>
          <t>2025/08/05</t>
        </is>
      </c>
      <c r="C160" s="44" t="inlineStr">
        <is>
          <t>勤誠</t>
        </is>
      </c>
      <c r="D160" s="42" t="n">
        <v>8210</v>
      </c>
      <c r="E160" s="44" t="inlineStr">
        <is>
          <t>美系大行</t>
        </is>
      </c>
      <c r="F160" s="44" t="inlineStr">
        <is>
          <t>維持正向</t>
        </is>
      </c>
      <c r="G160" s="44" t="inlineStr">
        <is>
          <t>⭐⭐⭐⭐</t>
        </is>
      </c>
      <c r="H160" s="44" t="inlineStr">
        <is>
          <t>#GB系列 #謠傳澄清</t>
        </is>
      </c>
    </row>
    <row r="161">
      <c r="A161" s="42" t="n">
        <v>160</v>
      </c>
      <c r="B161" s="43" t="inlineStr">
        <is>
          <t>2025/08/05</t>
        </is>
      </c>
      <c r="C161" s="44" t="inlineStr">
        <is>
          <t>台光電</t>
        </is>
      </c>
      <c r="D161" s="42" t="n">
        <v>2383</v>
      </c>
      <c r="E161" s="44" t="inlineStr">
        <is>
          <t>美系券商</t>
        </is>
      </c>
      <c r="F161" s="44" t="inlineStr">
        <is>
          <t>重申正向</t>
        </is>
      </c>
      <c r="G161" s="44" t="inlineStr">
        <is>
          <t>⭐⭐⭐⭐⭐</t>
        </is>
      </c>
      <c r="H161" s="44" t="inlineStr">
        <is>
          <t>#M9認證 #800G #市佔5成 #無砍單</t>
        </is>
      </c>
    </row>
    <row r="162">
      <c r="A162" s="42" t="n">
        <v>161</v>
      </c>
      <c r="B162" s="43" t="inlineStr">
        <is>
          <t>2025/08/06</t>
        </is>
      </c>
      <c r="C162" s="44" t="inlineStr">
        <is>
          <t>智邦</t>
        </is>
      </c>
      <c r="D162" s="42" t="n">
        <v>2345</v>
      </c>
      <c r="E162" s="44" t="inlineStr">
        <is>
          <t>美系大行</t>
        </is>
      </c>
      <c r="F162" s="44" t="inlineStr">
        <is>
          <t>升目標</t>
        </is>
      </c>
      <c r="G162" s="44" t="inlineStr">
        <is>
          <t>⭐⭐⭐⭐⭐</t>
        </is>
      </c>
      <c r="H162" s="44" t="inlineStr">
        <is>
          <t>#AI加速器 #800G #毛利率回升</t>
        </is>
      </c>
    </row>
    <row r="163">
      <c r="A163" s="42" t="n">
        <v>162</v>
      </c>
      <c r="B163" s="43" t="inlineStr">
        <is>
          <t>2025/08/06</t>
        </is>
      </c>
      <c r="C163" s="44" t="inlineStr">
        <is>
          <t>富世達</t>
        </is>
      </c>
      <c r="D163" s="42" t="n">
        <v>6805</v>
      </c>
      <c r="E163" s="44" t="inlineStr">
        <is>
          <t>美系大行</t>
        </is>
      </c>
      <c r="F163" s="44" t="inlineStr">
        <is>
          <t>升目標</t>
        </is>
      </c>
      <c r="G163" s="44" t="inlineStr">
        <is>
          <t>⭐⭐⭐⭐⭐</t>
        </is>
      </c>
      <c r="H163" s="44" t="inlineStr">
        <is>
          <t>#UQD #rail_kit #ASIC #Nvidia #AMD</t>
        </is>
      </c>
    </row>
    <row r="164">
      <c r="A164" s="42" t="n">
        <v>163</v>
      </c>
      <c r="B164" s="43" t="inlineStr">
        <is>
          <t>2025/08/06</t>
        </is>
      </c>
      <c r="C164" s="44" t="inlineStr">
        <is>
          <t>鴻海</t>
        </is>
      </c>
      <c r="D164" s="42" t="n">
        <v>2317</v>
      </c>
      <c r="E164" s="44" t="inlineStr">
        <is>
          <t>美系大行</t>
        </is>
      </c>
      <c r="F164" s="44" t="inlineStr">
        <is>
          <t>升目標</t>
        </is>
      </c>
      <c r="G164" s="44" t="inlineStr">
        <is>
          <t>⭐⭐⭐⭐⭐</t>
        </is>
      </c>
      <c r="H164" s="44" t="inlineStr">
        <is>
          <t>#伺服器出貨 #營運槓桿</t>
        </is>
      </c>
    </row>
    <row r="165">
      <c r="A165" s="42" t="n">
        <v>164</v>
      </c>
      <c r="B165" s="43" t="inlineStr">
        <is>
          <t>2025/08/06</t>
        </is>
      </c>
      <c r="C165" s="44" t="inlineStr">
        <is>
          <t>貿聯</t>
        </is>
      </c>
      <c r="D165" s="42" t="n">
        <v>3665</v>
      </c>
      <c r="E165" s="44" t="inlineStr">
        <is>
          <t>美系大行</t>
        </is>
      </c>
      <c r="F165" s="44" t="inlineStr">
        <is>
          <t>月營收靚</t>
        </is>
      </c>
      <c r="G165" s="44" t="inlineStr">
        <is>
          <t>⭐⭐⭐⭐</t>
        </is>
      </c>
      <c r="H165" s="44" t="inlineStr">
        <is>
          <t>#AEC #營收超預期</t>
        </is>
      </c>
    </row>
    <row r="166">
      <c r="A166" s="42" t="n">
        <v>165</v>
      </c>
      <c r="B166" s="43" t="inlineStr">
        <is>
          <t>2025/08/06</t>
        </is>
      </c>
      <c r="C166" s="44" t="inlineStr">
        <is>
          <t>愛普</t>
        </is>
      </c>
      <c r="D166" s="42" t="n">
        <v>6531</v>
      </c>
      <c r="E166" s="44" t="inlineStr">
        <is>
          <t>美系大行</t>
        </is>
      </c>
      <c r="F166" s="44" t="inlineStr">
        <is>
          <t>升目標</t>
        </is>
      </c>
      <c r="G166" s="44" t="inlineStr">
        <is>
          <t>⭐⭐⭐⭐</t>
        </is>
      </c>
      <c r="H166" s="44" t="inlineStr">
        <is>
          <t>#S-SiCap #IoTRAM #ApSRAM #VHM</t>
        </is>
      </c>
    </row>
    <row r="167">
      <c r="A167" s="42" t="n">
        <v>166</v>
      </c>
      <c r="B167" s="43" t="inlineStr">
        <is>
          <t>2025/08/01</t>
        </is>
      </c>
      <c r="C167" s="44" t="inlineStr">
        <is>
          <t>台達電</t>
        </is>
      </c>
      <c r="D167" s="42" t="n">
        <v>2308</v>
      </c>
      <c r="E167" s="44" t="inlineStr">
        <is>
          <t>眾券商</t>
        </is>
      </c>
      <c r="F167" s="44" t="inlineStr">
        <is>
          <t>法說會-眾券商上修</t>
        </is>
      </c>
      <c r="G167" s="44" t="inlineStr">
        <is>
          <t>⭐⭐⭐⭐⭐</t>
        </is>
      </c>
      <c r="H167" s="44" t="inlineStr">
        <is>
          <t>#法說會 #水冷 #電源管理 #OPM提升</t>
        </is>
      </c>
    </row>
    <row r="168">
      <c r="A168" s="42" t="n">
        <v>167</v>
      </c>
      <c r="B168" s="43" t="inlineStr">
        <is>
          <t>2025/08/01</t>
        </is>
      </c>
      <c r="C168" s="44" t="inlineStr">
        <is>
          <t>友達</t>
        </is>
      </c>
      <c r="D168" s="42" t="n">
        <v>2409</v>
      </c>
      <c r="E168" s="44" t="inlineStr">
        <is>
          <t>美系大行</t>
        </is>
      </c>
      <c r="F168" s="44" t="inlineStr">
        <is>
          <t>2Q優於預期</t>
        </is>
      </c>
      <c r="G168" s="44" t="inlineStr">
        <is>
          <t>⭐⭐⭐</t>
        </is>
      </c>
      <c r="H168" s="44" t="inlineStr">
        <is>
          <t>#產品優化 #TV面板降價 #中性評等</t>
        </is>
      </c>
    </row>
    <row r="169">
      <c r="A169" s="42" t="n">
        <v>168</v>
      </c>
      <c r="B169" s="43" t="inlineStr">
        <is>
          <t>2025/08/01</t>
        </is>
      </c>
      <c r="C169" s="44" t="inlineStr">
        <is>
          <t>穩懋</t>
        </is>
      </c>
      <c r="D169" s="42" t="n">
        <v>3105</v>
      </c>
      <c r="E169" s="44" t="inlineStr">
        <is>
          <t>美系券商</t>
        </is>
      </c>
      <c r="F169" s="44" t="inlineStr">
        <is>
          <t>持保守</t>
        </is>
      </c>
      <c r="G169" s="44" t="inlineStr">
        <is>
          <t>⭐⭐⭐</t>
        </is>
      </c>
      <c r="H169" s="44" t="inlineStr">
        <is>
          <t>#匯率影響 #稼動率55% #季節性拉貨</t>
        </is>
      </c>
    </row>
    <row r="170">
      <c r="A170" s="42" t="n">
        <v>169</v>
      </c>
      <c r="B170" s="43" t="inlineStr">
        <is>
          <t>2025/08/01</t>
        </is>
      </c>
      <c r="C170" s="44" t="inlineStr">
        <is>
          <t>亞德客</t>
        </is>
      </c>
      <c r="D170" s="42" t="n">
        <v>1509</v>
      </c>
      <c r="E170" s="44" t="inlineStr">
        <is>
          <t>歐系券商</t>
        </is>
      </c>
      <c r="F170" s="44" t="inlineStr">
        <is>
          <t>持保守</t>
        </is>
      </c>
      <c r="G170" s="44" t="inlineStr">
        <is>
          <t>⭐⭐</t>
        </is>
      </c>
      <c r="H170" s="44" t="inlineStr">
        <is>
          <t>#電子部門下修 #出貨延遲 #淡季</t>
        </is>
      </c>
    </row>
    <row r="171">
      <c r="A171" s="42" t="n">
        <v>170</v>
      </c>
      <c r="B171" s="43" t="inlineStr">
        <is>
          <t>2025/08/06</t>
        </is>
      </c>
      <c r="C171" s="44" t="inlineStr">
        <is>
          <t>智邦</t>
        </is>
      </c>
      <c r="D171" s="42" t="n">
        <v>2345</v>
      </c>
      <c r="E171" s="44" t="inlineStr">
        <is>
          <t>美系大行</t>
        </is>
      </c>
      <c r="F171" s="44" t="inlineStr">
        <is>
          <t>升目標</t>
        </is>
      </c>
      <c r="G171" s="44" t="inlineStr">
        <is>
          <t>⭐⭐⭐⭐⭐</t>
        </is>
      </c>
      <c r="H171" s="44" t="inlineStr">
        <is>
          <t>#AI加速器 #800G #毛利率回升</t>
        </is>
      </c>
    </row>
    <row r="172">
      <c r="A172" s="42" t="n">
        <v>171</v>
      </c>
      <c r="B172" s="43" t="inlineStr">
        <is>
          <t>2025/08/06</t>
        </is>
      </c>
      <c r="C172" s="44" t="inlineStr">
        <is>
          <t>富世達</t>
        </is>
      </c>
      <c r="D172" s="42" t="n">
        <v>6805</v>
      </c>
      <c r="E172" s="44" t="inlineStr">
        <is>
          <t>美系大行</t>
        </is>
      </c>
      <c r="F172" s="44" t="inlineStr">
        <is>
          <t>升目標</t>
        </is>
      </c>
      <c r="G172" s="44" t="inlineStr">
        <is>
          <t>⭐⭐⭐⭐⭐</t>
        </is>
      </c>
      <c r="H172" s="44" t="inlineStr">
        <is>
          <t>#UQD #rail_kit #ASIC #Nvidia #AMD</t>
        </is>
      </c>
    </row>
    <row r="173">
      <c r="A173" s="42" t="n">
        <v>172</v>
      </c>
      <c r="B173" s="43" t="inlineStr">
        <is>
          <t>2025/08/06</t>
        </is>
      </c>
      <c r="C173" s="44" t="inlineStr">
        <is>
          <t>鴻海</t>
        </is>
      </c>
      <c r="D173" s="42" t="n">
        <v>2317</v>
      </c>
      <c r="E173" s="44" t="inlineStr">
        <is>
          <t>美系大行</t>
        </is>
      </c>
      <c r="F173" s="44" t="inlineStr">
        <is>
          <t>升目標</t>
        </is>
      </c>
      <c r="G173" s="44" t="inlineStr">
        <is>
          <t>⭐⭐⭐⭐⭐</t>
        </is>
      </c>
      <c r="H173" s="44" t="inlineStr">
        <is>
          <t>#伺服器出貨 #營運槓桿</t>
        </is>
      </c>
    </row>
    <row r="174">
      <c r="A174" s="42" t="n">
        <v>173</v>
      </c>
      <c r="B174" s="43" t="inlineStr">
        <is>
          <t>2025/08/06</t>
        </is>
      </c>
      <c r="C174" s="44" t="inlineStr">
        <is>
          <t>貿聯</t>
        </is>
      </c>
      <c r="D174" s="42" t="n">
        <v>3665</v>
      </c>
      <c r="E174" s="44" t="inlineStr">
        <is>
          <t>美系大行</t>
        </is>
      </c>
      <c r="F174" s="44" t="inlineStr">
        <is>
          <t>月營收靚</t>
        </is>
      </c>
      <c r="G174" s="44" t="inlineStr">
        <is>
          <t>⭐⭐⭐⭐</t>
        </is>
      </c>
      <c r="H174" s="44" t="inlineStr">
        <is>
          <t>#AEC #營收超預期</t>
        </is>
      </c>
    </row>
    <row r="175">
      <c r="A175" s="42" t="n">
        <v>174</v>
      </c>
      <c r="B175" s="43" t="inlineStr">
        <is>
          <t>2025/08/06</t>
        </is>
      </c>
      <c r="C175" s="44" t="inlineStr">
        <is>
          <t>愛普</t>
        </is>
      </c>
      <c r="D175" s="42" t="n">
        <v>6531</v>
      </c>
      <c r="E175" s="44" t="inlineStr">
        <is>
          <t>美系大行</t>
        </is>
      </c>
      <c r="F175" s="44" t="inlineStr">
        <is>
          <t>升目標</t>
        </is>
      </c>
      <c r="G175" s="44" t="inlineStr">
        <is>
          <t>⭐⭐⭐⭐</t>
        </is>
      </c>
      <c r="H175" s="44" t="inlineStr">
        <is>
          <t>#S-SiCap #IoTRAM #ApSRAM #VHM</t>
        </is>
      </c>
    </row>
    <row r="176">
      <c r="A176" s="42" t="n">
        <v>175</v>
      </c>
      <c r="B176" s="43" t="inlineStr">
        <is>
          <t>2025/08/01</t>
        </is>
      </c>
      <c r="C176" s="44" t="inlineStr">
        <is>
          <t>台達電</t>
        </is>
      </c>
      <c r="D176" s="42" t="n">
        <v>2308</v>
      </c>
      <c r="E176" s="44" t="inlineStr">
        <is>
          <t>眾券商</t>
        </is>
      </c>
      <c r="F176" s="44" t="inlineStr">
        <is>
          <t>法說會-眾券商上修</t>
        </is>
      </c>
      <c r="G176" s="44" t="inlineStr">
        <is>
          <t>⭐⭐⭐⭐⭐</t>
        </is>
      </c>
      <c r="H176" s="44" t="inlineStr">
        <is>
          <t>#法說會 #水冷 #電源管理 #OPM提升</t>
        </is>
      </c>
    </row>
    <row r="177">
      <c r="A177" s="42" t="n">
        <v>176</v>
      </c>
      <c r="B177" s="43" t="inlineStr">
        <is>
          <t>2025/08/01</t>
        </is>
      </c>
      <c r="C177" s="44" t="inlineStr">
        <is>
          <t>友達</t>
        </is>
      </c>
      <c r="D177" s="42" t="n">
        <v>2409</v>
      </c>
      <c r="E177" s="44" t="inlineStr">
        <is>
          <t>美系大行</t>
        </is>
      </c>
      <c r="F177" s="44" t="inlineStr">
        <is>
          <t>2Q優於預期</t>
        </is>
      </c>
      <c r="G177" s="44" t="inlineStr">
        <is>
          <t>⭐⭐⭐</t>
        </is>
      </c>
      <c r="H177" s="44" t="inlineStr">
        <is>
          <t>#產品優化 #TV面板降價 #中性評等</t>
        </is>
      </c>
    </row>
    <row r="178">
      <c r="A178" s="42" t="n">
        <v>177</v>
      </c>
      <c r="B178" s="43" t="inlineStr">
        <is>
          <t>2025/08/01</t>
        </is>
      </c>
      <c r="C178" s="44" t="inlineStr">
        <is>
          <t>穩懋</t>
        </is>
      </c>
      <c r="D178" s="42" t="n">
        <v>3105</v>
      </c>
      <c r="E178" s="44" t="inlineStr">
        <is>
          <t>美系券商</t>
        </is>
      </c>
      <c r="F178" s="44" t="inlineStr">
        <is>
          <t>持保守</t>
        </is>
      </c>
      <c r="G178" s="44" t="inlineStr">
        <is>
          <t>⭐⭐⭐</t>
        </is>
      </c>
      <c r="H178" s="44" t="inlineStr">
        <is>
          <t>#匯率影響 #稼動率55% #季節性拉貨</t>
        </is>
      </c>
    </row>
    <row r="179">
      <c r="A179" s="42" t="n">
        <v>178</v>
      </c>
      <c r="B179" s="43" t="inlineStr">
        <is>
          <t>2025/08/01</t>
        </is>
      </c>
      <c r="C179" s="44" t="inlineStr">
        <is>
          <t>亞德客</t>
        </is>
      </c>
      <c r="D179" s="42" t="n">
        <v>1509</v>
      </c>
      <c r="E179" s="44" t="inlineStr">
        <is>
          <t>歐系券商</t>
        </is>
      </c>
      <c r="F179" s="44" t="inlineStr">
        <is>
          <t>持保守</t>
        </is>
      </c>
      <c r="G179" s="44" t="inlineStr">
        <is>
          <t>⭐⭐</t>
        </is>
      </c>
      <c r="H179" s="44" t="inlineStr">
        <is>
          <t>#電子部門下修 #出貨延遲 #淡季</t>
        </is>
      </c>
    </row>
    <row r="180">
      <c r="A180" s="42" t="n">
        <v>179</v>
      </c>
      <c r="B180" s="43" t="inlineStr">
        <is>
          <t>2025/07/31</t>
        </is>
      </c>
      <c r="C180" s="44" t="inlineStr">
        <is>
          <t>台光電</t>
        </is>
      </c>
      <c r="D180" s="42" t="n">
        <v>2383</v>
      </c>
      <c r="E180" s="44" t="inlineStr">
        <is>
          <t>美系券商</t>
        </is>
      </c>
      <c r="F180" s="44" t="inlineStr">
        <is>
          <t>升目標</t>
        </is>
      </c>
      <c r="G180" s="44" t="inlineStr">
        <is>
          <t>⭐⭐⭐⭐⭐</t>
        </is>
      </c>
      <c r="H180" s="44" t="inlineStr">
        <is>
          <t>#M7 #M8 #馬來西亞擴產</t>
        </is>
      </c>
    </row>
    <row r="181">
      <c r="A181" s="42" t="n">
        <v>180</v>
      </c>
      <c r="B181" s="43" t="inlineStr">
        <is>
          <t>2025/07/31</t>
        </is>
      </c>
      <c r="C181" s="44" t="inlineStr">
        <is>
          <t>台達電</t>
        </is>
      </c>
      <c r="D181" s="42" t="n">
        <v>2308</v>
      </c>
      <c r="E181" s="44" t="inlineStr">
        <is>
          <t>美系大行</t>
        </is>
      </c>
      <c r="F181" s="44" t="inlineStr">
        <is>
          <t>2Q beat</t>
        </is>
      </c>
      <c r="G181" s="44" t="inlineStr">
        <is>
          <t>⭐⭐⭐⭐⭐</t>
        </is>
      </c>
      <c r="H181" s="44" t="inlineStr">
        <is>
          <t>#2Q超預期 #法說會</t>
        </is>
      </c>
    </row>
    <row r="182">
      <c r="A182" s="42" t="n">
        <v>181</v>
      </c>
      <c r="B182" s="43" t="inlineStr">
        <is>
          <t>2025/07/31</t>
        </is>
      </c>
      <c r="C182" s="44" t="inlineStr">
        <is>
          <t>聯發科</t>
        </is>
      </c>
      <c r="D182" s="42" t="n">
        <v>2454</v>
      </c>
      <c r="E182" s="44" t="inlineStr">
        <is>
          <t>美系大行</t>
        </is>
      </c>
      <c r="F182" s="44" t="inlineStr">
        <is>
          <t>ASIC on track</t>
        </is>
      </c>
      <c r="G182" s="44" t="inlineStr">
        <is>
          <t>⭐⭐⭐⭐⭐</t>
        </is>
      </c>
      <c r="H182" s="44" t="inlineStr">
        <is>
          <t>#ASIC #Google #D9500</t>
        </is>
      </c>
    </row>
    <row r="183">
      <c r="A183" s="42" t="n">
        <v>182</v>
      </c>
      <c r="B183" s="43" t="inlineStr">
        <is>
          <t>2025/07/31</t>
        </is>
      </c>
      <c r="C183" s="44" t="inlineStr">
        <is>
          <t>聯亞</t>
        </is>
      </c>
      <c r="D183" s="42" t="n">
        <v>3081</v>
      </c>
      <c r="E183" s="44" t="inlineStr">
        <is>
          <t>美系大行</t>
        </is>
      </c>
      <c r="F183" s="44" t="inlineStr">
        <is>
          <t>2Q毛利率優</t>
        </is>
      </c>
      <c r="G183" s="44" t="inlineStr">
        <is>
          <t>⭐⭐⭐⭐</t>
        </is>
      </c>
      <c r="H183" s="44" t="inlineStr">
        <is>
          <t>#InP基板 #epi_wafer</t>
        </is>
      </c>
    </row>
    <row r="184">
      <c r="A184" s="42" t="n">
        <v>183</v>
      </c>
      <c r="B184" s="43" t="inlineStr">
        <is>
          <t>2025/07/31</t>
        </is>
      </c>
      <c r="C184" s="44" t="inlineStr">
        <is>
          <t>聯電</t>
        </is>
      </c>
      <c r="D184" s="42" t="n">
        <v>2303</v>
      </c>
      <c r="E184" s="44" t="inlineStr">
        <is>
          <t>美系券商</t>
        </is>
      </c>
      <c r="F184" s="44" t="inlineStr">
        <is>
          <t>維持中性</t>
        </is>
      </c>
      <c r="G184" s="44" t="inlineStr">
        <is>
          <t>⭐⭐⭐</t>
        </is>
      </c>
      <c r="H184" s="44" t="inlineStr">
        <is>
          <t>#28nm #價格競爭 #中性評等</t>
        </is>
      </c>
    </row>
    <row r="185">
      <c r="A185" s="42" t="n">
        <v>184</v>
      </c>
      <c r="B185" s="43" t="inlineStr">
        <is>
          <t>2025/07/30</t>
        </is>
      </c>
      <c r="C185" s="44" t="inlineStr">
        <is>
          <t>欣興</t>
        </is>
      </c>
      <c r="D185" s="42" t="n">
        <v>3037</v>
      </c>
      <c r="E185" s="44" t="inlineStr">
        <is>
          <t>美系券商</t>
        </is>
      </c>
      <c r="F185" s="44" t="inlineStr">
        <is>
          <t>維持中性</t>
        </is>
      </c>
      <c r="G185" s="44" t="inlineStr">
        <is>
          <t>⭐⭐⭐⭐</t>
        </is>
      </c>
      <c r="H185" s="44" t="inlineStr">
        <is>
          <t>#ABF #BT #成本控管</t>
        </is>
      </c>
    </row>
    <row r="186">
      <c r="A186" s="42" t="n">
        <v>185</v>
      </c>
      <c r="B186" s="43" t="inlineStr">
        <is>
          <t>2025/07/30</t>
        </is>
      </c>
      <c r="C186" s="44" t="inlineStr">
        <is>
          <t>世界</t>
        </is>
      </c>
      <c r="D186" s="42" t="n">
        <v>5347</v>
      </c>
      <c r="E186" s="44" t="inlineStr">
        <is>
          <t>美系券商</t>
        </is>
      </c>
      <c r="F186" s="44" t="inlineStr">
        <is>
          <t>升評升目標</t>
        </is>
      </c>
      <c r="G186" s="44" t="inlineStr">
        <is>
          <t>⭐⭐⭐⭐</t>
        </is>
      </c>
      <c r="H186" s="44" t="inlineStr">
        <is>
          <t>#PMIC #中國轉單 #高雄廠</t>
        </is>
      </c>
    </row>
    <row r="187">
      <c r="A187" s="42" t="n">
        <v>186</v>
      </c>
      <c r="B187" s="43" t="inlineStr">
        <is>
          <t>2025/07/30</t>
        </is>
      </c>
      <c r="C187" s="44" t="inlineStr">
        <is>
          <t>智邦</t>
        </is>
      </c>
      <c r="D187" s="42" t="n">
        <v>2345</v>
      </c>
      <c r="E187" s="44" t="inlineStr">
        <is>
          <t>美系大行</t>
        </is>
      </c>
      <c r="F187" s="44" t="inlineStr">
        <is>
          <t>重申正向</t>
        </is>
      </c>
      <c r="G187" s="44" t="inlineStr">
        <is>
          <t>⭐⭐⭐⭐⭐</t>
        </is>
      </c>
      <c r="H187" s="44" t="inlineStr">
        <is>
          <t>#800G #400G #Celestica</t>
        </is>
      </c>
    </row>
    <row r="188">
      <c r="A188" s="42" t="n">
        <v>187</v>
      </c>
      <c r="B188" s="43" t="inlineStr">
        <is>
          <t>2025/07/29</t>
        </is>
      </c>
      <c r="C188" s="44" t="inlineStr">
        <is>
          <t>全新</t>
        </is>
      </c>
      <c r="D188" s="42" t="n">
        <v>2455</v>
      </c>
      <c r="E188" s="44" t="inlineStr">
        <is>
          <t>亞系券商</t>
        </is>
      </c>
      <c r="F188" s="44" t="inlineStr">
        <is>
          <t>升目標</t>
        </is>
      </c>
      <c r="G188" s="44" t="inlineStr">
        <is>
          <t>⭐⭐⭐⭐⭐</t>
        </is>
      </c>
      <c r="H188" s="44" t="inlineStr">
        <is>
          <t>#InP #800G #1.6T #Broadcom</t>
        </is>
      </c>
    </row>
    <row r="189">
      <c r="A189" s="42" t="n">
        <v>188</v>
      </c>
      <c r="B189" s="43" t="inlineStr">
        <is>
          <t>2025/07/29</t>
        </is>
      </c>
      <c r="C189" s="44" t="inlineStr">
        <is>
          <t>景碩</t>
        </is>
      </c>
      <c r="D189" s="42" t="n">
        <v>3189</v>
      </c>
      <c r="E189" s="44" t="inlineStr">
        <is>
          <t>美系券商</t>
        </is>
      </c>
      <c r="F189" s="44" t="inlineStr">
        <is>
          <t>升目標</t>
        </is>
      </c>
      <c r="G189" s="44" t="inlineStr">
        <is>
          <t>⭐⭐⭐⭐</t>
        </is>
      </c>
      <c r="H189" s="44" t="inlineStr">
        <is>
          <t>#ABF #BT #T-glass短缺 #漲價</t>
        </is>
      </c>
    </row>
    <row r="190">
      <c r="A190" s="42" t="n">
        <v>189</v>
      </c>
      <c r="B190" s="43" t="inlineStr">
        <is>
          <t>2025/07/29</t>
        </is>
      </c>
      <c r="C190" s="44" t="inlineStr">
        <is>
          <t>緯創</t>
        </is>
      </c>
      <c r="D190" s="42" t="n">
        <v>3231</v>
      </c>
      <c r="E190" s="44" t="inlineStr">
        <is>
          <t>美系大行</t>
        </is>
      </c>
      <c r="F190" s="44" t="inlineStr">
        <is>
          <t>H20解禁受惠</t>
        </is>
      </c>
      <c r="G190" s="44" t="inlineStr">
        <is>
          <t>⭐⭐⭐⭐⭐</t>
        </is>
      </c>
      <c r="H190" s="44" t="inlineStr">
        <is>
          <t>#H20 #解禁受惠</t>
        </is>
      </c>
    </row>
    <row r="191">
      <c r="A191" s="42" t="n">
        <v>190</v>
      </c>
      <c r="B191" s="43" t="inlineStr">
        <is>
          <t>2025/07/28</t>
        </is>
      </c>
      <c r="C191" s="44" t="inlineStr">
        <is>
          <t>聯發科</t>
        </is>
      </c>
      <c r="D191" s="42" t="n">
        <v>2454</v>
      </c>
      <c r="E191" s="44" t="inlineStr">
        <is>
          <t>美系券商</t>
        </is>
      </c>
      <c r="F191" s="44" t="inlineStr">
        <is>
          <t>重申正向</t>
        </is>
      </c>
      <c r="G191" s="44" t="inlineStr">
        <is>
          <t>⭐⭐⭐⭐</t>
        </is>
      </c>
      <c r="H191" s="44" t="inlineStr">
        <is>
          <t>#ASIC #Google_TPU #Meta #高通競爭</t>
        </is>
      </c>
    </row>
    <row r="192">
      <c r="A192" s="42" t="n">
        <v>191</v>
      </c>
      <c r="B192" s="43" t="inlineStr">
        <is>
          <t>2025/07/28</t>
        </is>
      </c>
      <c r="C192" s="44" t="inlineStr">
        <is>
          <t>富世達</t>
        </is>
      </c>
      <c r="D192" s="42" t="n">
        <v>6805</v>
      </c>
      <c r="E192" s="44" t="inlineStr">
        <is>
          <t>亞系券商</t>
        </is>
      </c>
      <c r="F192" s="44" t="inlineStr">
        <is>
          <t>升目標</t>
        </is>
      </c>
      <c r="G192" s="44" t="inlineStr">
        <is>
          <t>⭐⭐⭐⭐⭐</t>
        </is>
      </c>
      <c r="H192" s="44" t="inlineStr">
        <is>
          <t>#折疊手機 #伺服器</t>
        </is>
      </c>
    </row>
    <row r="193">
      <c r="A193" s="42" t="n">
        <v>192</v>
      </c>
      <c r="B193" s="43" t="inlineStr">
        <is>
          <t>2025/07/28</t>
        </is>
      </c>
      <c r="C193" s="44" t="inlineStr">
        <is>
          <t>台達電</t>
        </is>
      </c>
      <c r="D193" s="42" t="n">
        <v>2308</v>
      </c>
      <c r="E193" s="44" t="inlineStr">
        <is>
          <t>美系券商</t>
        </is>
      </c>
      <c r="F193" s="44" t="inlineStr">
        <is>
          <t>重申正向</t>
        </is>
      </c>
      <c r="G193" s="44" t="inlineStr">
        <is>
          <t>⭐⭐⭐⭐</t>
        </is>
      </c>
      <c r="H193" s="44" t="inlineStr">
        <is>
          <t>#side_car #匯率影響</t>
        </is>
      </c>
    </row>
    <row r="194">
      <c r="A194" s="42" t="n">
        <v>193</v>
      </c>
      <c r="B194" s="43" t="inlineStr">
        <is>
          <t>2025/07/25</t>
        </is>
      </c>
      <c r="C194" s="44" t="inlineStr">
        <is>
          <t>全新</t>
        </is>
      </c>
      <c r="D194" s="42" t="n">
        <v>2455</v>
      </c>
      <c r="E194" s="44" t="inlineStr">
        <is>
          <t>美系券商</t>
        </is>
      </c>
      <c r="F194" s="44" t="inlineStr">
        <is>
          <t>重申正向</t>
        </is>
      </c>
      <c r="G194" s="44" t="inlineStr">
        <is>
          <t>⭐⭐⭐⭐</t>
        </is>
      </c>
      <c r="H194" s="44" t="inlineStr">
        <is>
          <t>#InP出口許可 #SiPh #環宇</t>
        </is>
      </c>
    </row>
    <row r="195">
      <c r="A195" s="42" t="n">
        <v>194</v>
      </c>
      <c r="B195" s="43" t="inlineStr">
        <is>
          <t>2025/07/24</t>
        </is>
      </c>
      <c r="C195" s="44" t="inlineStr">
        <is>
          <t>廣達</t>
        </is>
      </c>
      <c r="D195" s="42" t="n">
        <v>2382</v>
      </c>
      <c r="E195" s="44" t="inlineStr">
        <is>
          <t>亞系券商</t>
        </is>
      </c>
      <c r="F195" s="44" t="inlineStr">
        <is>
          <t>上修</t>
        </is>
      </c>
      <c r="G195" s="44" t="inlineStr">
        <is>
          <t>⭐⭐⭐⭐⭐</t>
        </is>
      </c>
      <c r="H195" s="44" t="inlineStr">
        <is>
          <t>#NVL72 #高價出貨</t>
        </is>
      </c>
    </row>
    <row r="196">
      <c r="A196" s="42" t="n">
        <v>195</v>
      </c>
      <c r="B196" s="43" t="inlineStr">
        <is>
          <t>2025/07/24</t>
        </is>
      </c>
      <c r="C196" s="44" t="inlineStr">
        <is>
          <t>上詮</t>
        </is>
      </c>
      <c r="D196" s="42" t="n">
        <v>3363</v>
      </c>
      <c r="E196" s="44" t="inlineStr">
        <is>
          <t>券商通路調研</t>
        </is>
      </c>
      <c r="F196" s="44" t="inlineStr">
        <is>
          <t>正向觀察</t>
        </is>
      </c>
      <c r="G196" s="44" t="inlineStr">
        <is>
          <t>⭐⭐⭐⭐⭐</t>
        </is>
      </c>
      <c r="H196" s="44" t="inlineStr">
        <is>
          <t>#FAU #CPO #SiPh #營收年增60%</t>
        </is>
      </c>
    </row>
    <row r="197">
      <c r="A197" s="42" t="n">
        <v>196</v>
      </c>
      <c r="B197" s="43" t="inlineStr">
        <is>
          <t>2025/07/24</t>
        </is>
      </c>
      <c r="C197" s="44" t="inlineStr">
        <is>
          <t>台達電</t>
        </is>
      </c>
      <c r="D197" s="42" t="n">
        <v>2308</v>
      </c>
      <c r="E197" s="44" t="inlineStr">
        <is>
          <t>澳系券商</t>
        </is>
      </c>
      <c r="F197" s="44" t="inlineStr">
        <is>
          <t>降評</t>
        </is>
      </c>
      <c r="G197" s="44" t="inlineStr">
        <is>
          <t>⭐⭐⭐</t>
        </is>
      </c>
      <c r="H197" s="44" t="inlineStr">
        <is>
          <t>#降評至中性 #股價反應利多</t>
        </is>
      </c>
    </row>
    <row r="198">
      <c r="A198" s="42" t="n">
        <v>197</v>
      </c>
      <c r="B198" s="43" t="inlineStr">
        <is>
          <t>2025/07/23</t>
        </is>
      </c>
      <c r="C198" s="44" t="inlineStr">
        <is>
          <t>勤誠</t>
        </is>
      </c>
      <c r="D198" s="42" t="n">
        <v>8210</v>
      </c>
      <c r="E198" s="44" t="inlineStr">
        <is>
          <t>美系大行</t>
        </is>
      </c>
      <c r="F198" s="44" t="inlineStr">
        <is>
          <t>初評正向</t>
        </is>
      </c>
      <c r="G198" s="44" t="inlineStr">
        <is>
          <t>⭐⭐⭐⭐⭐</t>
        </is>
      </c>
      <c r="H198" s="44" t="inlineStr">
        <is>
          <t>#初評 #整機櫃 #ASP是傳統5-6倍</t>
        </is>
      </c>
    </row>
    <row r="199">
      <c r="A199" s="42" t="n">
        <v>198</v>
      </c>
      <c r="B199" s="43" t="inlineStr">
        <is>
          <t>2025/07/23</t>
        </is>
      </c>
      <c r="C199" s="44" t="inlineStr">
        <is>
          <t>力積電</t>
        </is>
      </c>
      <c r="D199" s="42" t="n">
        <v>6770</v>
      </c>
      <c r="E199" s="44" t="inlineStr">
        <is>
          <t>美系大行</t>
        </is>
      </c>
      <c r="F199" s="44" t="inlineStr">
        <is>
          <t>降目標</t>
        </is>
      </c>
      <c r="G199" s="44" t="inlineStr">
        <is>
          <t>⭐⭐⭐</t>
        </is>
      </c>
      <c r="H199" s="44" t="inlineStr">
        <is>
          <t>#Interposer #WoW #GaN</t>
        </is>
      </c>
    </row>
    <row r="200">
      <c r="A200" s="42" t="n">
        <v>199</v>
      </c>
      <c r="B200" s="43" t="inlineStr">
        <is>
          <t>2025/07/22</t>
        </is>
      </c>
      <c r="C200" s="44" t="inlineStr">
        <is>
          <t>金像電</t>
        </is>
      </c>
      <c r="D200" s="42" t="n">
        <v>2368</v>
      </c>
      <c r="E200" s="44" t="inlineStr">
        <is>
          <t>亞系券商</t>
        </is>
      </c>
      <c r="F200" s="44" t="inlineStr">
        <is>
          <t>升目標</t>
        </is>
      </c>
      <c r="G200" s="44" t="inlineStr">
        <is>
          <t>⭐⭐⭐⭐⭐</t>
        </is>
      </c>
      <c r="H200" s="44" t="inlineStr">
        <is>
          <t>#Amazon_ASIC #Meta #MLB #市佔40-45%</t>
        </is>
      </c>
    </row>
    <row r="201">
      <c r="A201" s="42" t="n">
        <v>200</v>
      </c>
      <c r="B201" s="43" t="inlineStr">
        <is>
          <t>2025/07/22</t>
        </is>
      </c>
      <c r="C201" s="44" t="inlineStr">
        <is>
          <t>奇鋐</t>
        </is>
      </c>
      <c r="D201" s="42" t="n">
        <v>3017</v>
      </c>
      <c r="E201" s="44" t="inlineStr">
        <is>
          <t>美系券商</t>
        </is>
      </c>
      <c r="F201" s="44" t="inlineStr">
        <is>
          <t>升目標</t>
        </is>
      </c>
      <c r="G201" s="44" t="inlineStr">
        <is>
          <t>⭐⭐⭐⭐⭐</t>
        </is>
      </c>
      <c r="H201" s="44" t="inlineStr">
        <is>
          <t>#水冷 #越南廠 #營收年增69%</t>
        </is>
      </c>
    </row>
    <row r="202">
      <c r="A202" s="42" t="n">
        <v>201</v>
      </c>
      <c r="B202" s="43" t="inlineStr">
        <is>
          <t>2025/07/22</t>
        </is>
      </c>
      <c r="C202" s="44" t="inlineStr">
        <is>
          <t>台達電</t>
        </is>
      </c>
      <c r="D202" s="42" t="n">
        <v>2308</v>
      </c>
      <c r="E202" s="44" t="inlineStr">
        <is>
          <t>美系券商</t>
        </is>
      </c>
      <c r="F202" s="44" t="inlineStr">
        <is>
          <t>升目標</t>
        </is>
      </c>
      <c r="G202" s="44" t="inlineStr">
        <is>
          <t>⭐⭐⭐⭐⭐</t>
        </is>
      </c>
      <c r="H202" s="44" t="inlineStr">
        <is>
          <t>#B300 #Kyber #HVDC #散熱6%</t>
        </is>
      </c>
    </row>
    <row r="203">
      <c r="A203" s="42" t="n">
        <v>202</v>
      </c>
      <c r="B203" s="43" t="inlineStr">
        <is>
          <t>2025/07/21</t>
        </is>
      </c>
      <c r="C203" s="44" t="inlineStr">
        <is>
          <t>台達電</t>
        </is>
      </c>
      <c r="D203" s="42" t="n">
        <v>2308</v>
      </c>
      <c r="E203" s="44" t="inlineStr">
        <is>
          <t>美系券商</t>
        </is>
      </c>
      <c r="F203" s="44" t="inlineStr">
        <is>
          <t>升目標</t>
        </is>
      </c>
      <c r="G203" s="44" t="inlineStr">
        <is>
          <t>⭐⭐⭐⭐⭐</t>
        </is>
      </c>
      <c r="H203" s="44" t="inlineStr">
        <is>
          <t>#IRHX #VR200 #產值躍升</t>
        </is>
      </c>
    </row>
    <row r="204">
      <c r="A204" s="42" t="n">
        <v>203</v>
      </c>
      <c r="B204" s="43" t="inlineStr">
        <is>
          <t>2025/07/21</t>
        </is>
      </c>
      <c r="C204" s="44" t="inlineStr">
        <is>
          <t>嘉澤</t>
        </is>
      </c>
      <c r="D204" s="42" t="n">
        <v>3533</v>
      </c>
      <c r="E204" s="44" t="inlineStr">
        <is>
          <t>美系券商</t>
        </is>
      </c>
      <c r="F204" s="44" t="inlineStr">
        <is>
          <t>升目標</t>
        </is>
      </c>
      <c r="G204" s="44" t="inlineStr">
        <is>
          <t>⭐⭐⭐⭐</t>
        </is>
      </c>
      <c r="H204" s="44" t="inlineStr">
        <is>
          <t>#Bianca #H20 #RTX_PRO_6000</t>
        </is>
      </c>
    </row>
    <row r="205">
      <c r="A205" s="42" t="n">
        <v>204</v>
      </c>
      <c r="B205" s="43" t="inlineStr">
        <is>
          <t>2025/07/21</t>
        </is>
      </c>
      <c r="C205" s="44" t="inlineStr">
        <is>
          <t>川湖</t>
        </is>
      </c>
      <c r="D205" s="42" t="n">
        <v>2059</v>
      </c>
      <c r="E205" s="44" t="inlineStr">
        <is>
          <t>美系券商</t>
        </is>
      </c>
      <c r="F205" s="44" t="inlineStr">
        <is>
          <t>升目標</t>
        </is>
      </c>
      <c r="G205" s="44" t="inlineStr">
        <is>
          <t>⭐⭐⭐⭐⭐</t>
        </is>
      </c>
      <c r="H205" s="44" t="inlineStr">
        <is>
          <t>#高U數滑軌 #客製化 #毛利率76%</t>
        </is>
      </c>
    </row>
    <row r="206">
      <c r="A206" s="42" t="n">
        <v>205</v>
      </c>
      <c r="B206" s="43" t="inlineStr">
        <is>
          <t>2025/07/21</t>
        </is>
      </c>
      <c r="C206" s="44" t="inlineStr">
        <is>
          <t>全新</t>
        </is>
      </c>
      <c r="D206" s="42" t="n">
        <v>2455</v>
      </c>
      <c r="E206" s="44" t="inlineStr">
        <is>
          <t>美系券商</t>
        </is>
      </c>
      <c r="F206" s="44" t="inlineStr">
        <is>
          <t>重申正向</t>
        </is>
      </c>
      <c r="G206" s="44" t="inlineStr">
        <is>
          <t>⭐⭐⭐⭐⭐</t>
        </is>
      </c>
      <c r="H206" s="44" t="inlineStr">
        <is>
          <t>#矽光子CAGR128% #800G #1.6T</t>
        </is>
      </c>
    </row>
    <row r="207">
      <c r="A207" s="42" t="n">
        <v>206</v>
      </c>
      <c r="B207" s="43" t="inlineStr">
        <is>
          <t>2025/07/17</t>
        </is>
      </c>
      <c r="C207" s="44" t="inlineStr">
        <is>
          <t>信驊</t>
        </is>
      </c>
      <c r="D207" s="42" t="n">
        <v>5274</v>
      </c>
      <c r="E207" s="44" t="inlineStr">
        <is>
          <t>美系券商</t>
        </is>
      </c>
      <c r="F207" s="44" t="inlineStr">
        <is>
          <t>降目標</t>
        </is>
      </c>
      <c r="G207" s="44" t="inlineStr">
        <is>
          <t>⭐⭐⭐⭐</t>
        </is>
      </c>
      <c r="H207" s="44" t="inlineStr">
        <is>
          <t>#Vera_Rubin #AST2700 #時程遞延</t>
        </is>
      </c>
    </row>
    <row r="208">
      <c r="A208" s="42" t="n">
        <v>207</v>
      </c>
      <c r="B208" s="43" t="inlineStr">
        <is>
          <t>2025/07/17</t>
        </is>
      </c>
      <c r="C208" s="44" t="inlineStr">
        <is>
          <t>欣興</t>
        </is>
      </c>
      <c r="D208" s="42" t="n">
        <v>3037</v>
      </c>
      <c r="E208" s="44" t="inlineStr">
        <is>
          <t>券商觀察</t>
        </is>
      </c>
      <c r="F208" s="44" t="inlineStr">
        <is>
          <t>T-glass短缺</t>
        </is>
      </c>
      <c r="G208" s="44" t="inlineStr">
        <is>
          <t>⭐⭐⭐</t>
        </is>
      </c>
      <c r="H208" s="44" t="inlineStr">
        <is>
          <t>#T-glass短缺 #產能利用率</t>
        </is>
      </c>
    </row>
    <row r="209">
      <c r="A209" s="42" t="n">
        <v>208</v>
      </c>
      <c r="B209" s="43" t="inlineStr">
        <is>
          <t>2025/07/16</t>
        </is>
      </c>
      <c r="C209" s="44" t="inlineStr">
        <is>
          <t>富世達</t>
        </is>
      </c>
      <c r="D209" s="42" t="n">
        <v>6805</v>
      </c>
      <c r="E209" s="44" t="inlineStr">
        <is>
          <t>亞系券商</t>
        </is>
      </c>
      <c r="F209" s="44" t="inlineStr">
        <is>
          <t>升目標</t>
        </is>
      </c>
      <c r="G209" s="44" t="inlineStr">
        <is>
          <t>⭐⭐⭐⭐⭐</t>
        </is>
      </c>
      <c r="H209" s="44" t="inlineStr">
        <is>
          <t>#轉軸 #伺服器佔比25%</t>
        </is>
      </c>
    </row>
    <row r="210">
      <c r="A210" s="42" t="n">
        <v>209</v>
      </c>
      <c r="B210" s="43" t="inlineStr">
        <is>
          <t>2025/07/16</t>
        </is>
      </c>
      <c r="C210" s="44" t="inlineStr">
        <is>
          <t>台光電</t>
        </is>
      </c>
      <c r="D210" s="42" t="n">
        <v>2383</v>
      </c>
      <c r="E210" s="44" t="inlineStr">
        <is>
          <t>美系券商</t>
        </is>
      </c>
      <c r="F210" s="44" t="inlineStr">
        <is>
          <t>升目標-產業報告</t>
        </is>
      </c>
      <c r="G210" s="44" t="inlineStr">
        <is>
          <t>⭐⭐⭐⭐⭐</t>
        </is>
      </c>
      <c r="H210" s="44" t="inlineStr">
        <is>
          <t>#M9 #CCL滲透率70% #市佔85%</t>
        </is>
      </c>
    </row>
    <row r="211">
      <c r="A211" s="42" t="n">
        <v>210</v>
      </c>
      <c r="B211" s="43" t="inlineStr">
        <is>
          <t>2025/07/16</t>
        </is>
      </c>
      <c r="C211" s="44" t="inlineStr">
        <is>
          <t>台燿</t>
        </is>
      </c>
      <c r="D211" s="42" t="n">
        <v>6274</v>
      </c>
      <c r="E211" s="44" t="inlineStr">
        <is>
          <t>美系券商</t>
        </is>
      </c>
      <c r="F211" s="44" t="inlineStr">
        <is>
          <t>升目標-產業報告</t>
        </is>
      </c>
      <c r="G211" s="44" t="inlineStr">
        <is>
          <t>⭐⭐⭐⭐⭐</t>
        </is>
      </c>
      <c r="H211" s="44" t="inlineStr">
        <is>
          <t>#M9 #產業報告</t>
        </is>
      </c>
    </row>
    <row r="212">
      <c r="A212" s="42" t="n">
        <v>211</v>
      </c>
      <c r="B212" s="43" t="inlineStr">
        <is>
          <t>2025/07/16</t>
        </is>
      </c>
      <c r="C212" s="44" t="inlineStr">
        <is>
          <t>金像電</t>
        </is>
      </c>
      <c r="D212" s="42" t="n">
        <v>2368</v>
      </c>
      <c r="E212" s="44" t="inlineStr">
        <is>
          <t>美系券商</t>
        </is>
      </c>
      <c r="F212" s="44" t="inlineStr">
        <is>
          <t>升目標-產業報告</t>
        </is>
      </c>
      <c r="G212" s="44" t="inlineStr">
        <is>
          <t>⭐⭐⭐⭐⭐</t>
        </is>
      </c>
      <c r="H212" s="44" t="inlineStr">
        <is>
          <t>#市佔6-8成 #產業報告</t>
        </is>
      </c>
    </row>
    <row r="213">
      <c r="A213" s="42" t="n">
        <v>212</v>
      </c>
      <c r="B213" s="43" t="inlineStr">
        <is>
          <t>2025/07/16</t>
        </is>
      </c>
      <c r="C213" s="44" t="inlineStr">
        <is>
          <t>台達電</t>
        </is>
      </c>
      <c r="D213" s="42" t="n">
        <v>2308</v>
      </c>
      <c r="E213" s="44" t="inlineStr">
        <is>
          <t>亞系券商</t>
        </is>
      </c>
      <c r="F213" s="44" t="inlineStr">
        <is>
          <t>升目標</t>
        </is>
      </c>
      <c r="G213" s="44" t="inlineStr">
        <is>
          <t>⭐⭐⭐⭐⭐</t>
        </is>
      </c>
      <c r="H213" s="44" t="inlineStr">
        <is>
          <t>#BMS #超級電容 #GB300提早</t>
        </is>
      </c>
    </row>
    <row r="214">
      <c r="A214" s="42" t="n">
        <v>213</v>
      </c>
      <c r="B214" s="43" t="inlineStr">
        <is>
          <t>2025/07/16</t>
        </is>
      </c>
      <c r="C214" s="44" t="inlineStr">
        <is>
          <t>信驊</t>
        </is>
      </c>
      <c r="D214" s="42" t="n">
        <v>5274</v>
      </c>
      <c r="E214" s="44" t="inlineStr">
        <is>
          <t>亞系券商</t>
        </is>
      </c>
      <c r="F214" s="44" t="inlineStr">
        <is>
          <t>觀察Vera延後</t>
        </is>
      </c>
      <c r="G214" s="44" t="inlineStr">
        <is>
          <t>⭐⭐⭐</t>
        </is>
      </c>
      <c r="H214" s="44" t="inlineStr">
        <is>
          <t>#Vera延後兩季 #4Q季減30%</t>
        </is>
      </c>
    </row>
    <row r="215">
      <c r="A215" s="42" t="n">
        <v>214</v>
      </c>
      <c r="B215" s="43" t="inlineStr">
        <is>
          <t>2025/07/15</t>
        </is>
      </c>
      <c r="C215" s="44" t="inlineStr">
        <is>
          <t>全新</t>
        </is>
      </c>
      <c r="D215" s="42" t="n">
        <v>2455</v>
      </c>
      <c r="E215" s="44" t="inlineStr">
        <is>
          <t>美系大行</t>
        </is>
      </c>
      <c r="F215" s="44" t="inlineStr">
        <is>
          <t>InP出口許可</t>
        </is>
      </c>
      <c r="G215" s="44" t="inlineStr">
        <is>
          <t>⭐⭐⭐⭐</t>
        </is>
      </c>
      <c r="H215" s="44" t="inlineStr">
        <is>
          <t>#InP出口許可 #不確定性消除</t>
        </is>
      </c>
    </row>
    <row r="216">
      <c r="A216" s="42" t="n">
        <v>215</v>
      </c>
      <c r="B216" s="43" t="inlineStr">
        <is>
          <t>2025/07/15</t>
        </is>
      </c>
      <c r="C216" s="44" t="inlineStr">
        <is>
          <t>東陽</t>
        </is>
      </c>
      <c r="D216" s="42" t="n">
        <v>1319</v>
      </c>
      <c r="E216" s="44" t="inlineStr">
        <is>
          <t>亞系券商</t>
        </is>
      </c>
      <c r="F216" s="44" t="inlineStr">
        <is>
          <t>升評升目標</t>
        </is>
      </c>
      <c r="G216" s="44" t="inlineStr">
        <is>
          <t>⭐⭐⭐⭐</t>
        </is>
      </c>
      <c r="H216" s="44" t="inlineStr">
        <is>
          <t>#市占率提升 #ODM #AM</t>
        </is>
      </c>
    </row>
    <row r="217">
      <c r="A217" s="42" t="n">
        <v>216</v>
      </c>
      <c r="B217" s="43" t="inlineStr">
        <is>
          <t>2025/07/15</t>
        </is>
      </c>
      <c r="C217" s="44" t="inlineStr">
        <is>
          <t>聯詠</t>
        </is>
      </c>
      <c r="D217" s="42" t="n">
        <v>3034</v>
      </c>
      <c r="E217" s="44" t="inlineStr">
        <is>
          <t>亞系券商</t>
        </is>
      </c>
      <c r="F217" s="44" t="inlineStr">
        <is>
          <t>降目標</t>
        </is>
      </c>
      <c r="G217" s="44" t="inlineStr">
        <is>
          <t>⭐⭐</t>
        </is>
      </c>
      <c r="H217" s="44" t="inlineStr">
        <is>
          <t>#TV面板降價 #品牌廠保守</t>
        </is>
      </c>
    </row>
    <row r="218">
      <c r="A218" s="42" t="n">
        <v>217</v>
      </c>
      <c r="B218" s="43" t="inlineStr">
        <is>
          <t>2025/07/14</t>
        </is>
      </c>
      <c r="C218" s="44" t="inlineStr">
        <is>
          <t>台積電</t>
        </is>
      </c>
      <c r="D218" s="42" t="n">
        <v>2330</v>
      </c>
      <c r="E218" s="44" t="inlineStr">
        <is>
          <t>美系券商</t>
        </is>
      </c>
      <c r="F218" s="44" t="inlineStr">
        <is>
          <t>重申正向</t>
        </is>
      </c>
      <c r="G218" s="44" t="inlineStr">
        <is>
          <t>⭐⭐⭐⭐⭐</t>
        </is>
      </c>
      <c r="H218" s="44" t="inlineStr">
        <is>
          <t>#法說會 #明年漲價 #3nm暢旺</t>
        </is>
      </c>
    </row>
    <row r="219">
      <c r="A219" s="42" t="n">
        <v>218</v>
      </c>
      <c r="B219" s="43" t="inlineStr">
        <is>
          <t>2025/07/14</t>
        </is>
      </c>
      <c r="C219" s="44" t="inlineStr">
        <is>
          <t>富世達</t>
        </is>
      </c>
      <c r="D219" s="42" t="n">
        <v>6805</v>
      </c>
      <c r="E219" s="44" t="inlineStr">
        <is>
          <t>美系券商</t>
        </is>
      </c>
      <c r="F219" s="44" t="inlineStr">
        <is>
          <t>水冷正面</t>
        </is>
      </c>
      <c r="G219" s="44" t="inlineStr">
        <is>
          <t>⭐⭐⭐⭐⭐</t>
        </is>
      </c>
      <c r="H219" s="44" t="inlineStr">
        <is>
          <t>#水冷佔比29% #QD #三折機</t>
        </is>
      </c>
    </row>
    <row r="220">
      <c r="A220" s="42" t="n">
        <v>219</v>
      </c>
      <c r="B220" s="43" t="inlineStr">
        <is>
          <t>2025/07/14</t>
        </is>
      </c>
      <c r="C220" s="44" t="inlineStr">
        <is>
          <t>穩懋</t>
        </is>
      </c>
      <c r="D220" s="42" t="n">
        <v>3105</v>
      </c>
      <c r="E220" s="44" t="inlineStr">
        <is>
          <t>美系券商</t>
        </is>
      </c>
      <c r="F220" s="44" t="inlineStr">
        <is>
          <t>降評降目標</t>
        </is>
      </c>
      <c r="G220" s="44" t="inlineStr">
        <is>
          <t>⭐⭐</t>
        </is>
      </c>
      <c r="H220" s="44" t="inlineStr">
        <is>
          <t>#競爭加劇 #降評</t>
        </is>
      </c>
    </row>
    <row r="221">
      <c r="A221" s="42" t="n">
        <v>220</v>
      </c>
      <c r="B221" s="43" t="inlineStr">
        <is>
          <t>2025/07/14</t>
        </is>
      </c>
      <c r="C221" s="44" t="inlineStr">
        <is>
          <t>宏捷科</t>
        </is>
      </c>
      <c r="D221" s="42" t="n">
        <v>8086</v>
      </c>
      <c r="E221" s="44" t="inlineStr">
        <is>
          <t>美系券商</t>
        </is>
      </c>
      <c r="F221" s="44" t="inlineStr">
        <is>
          <t>降評降目標</t>
        </is>
      </c>
      <c r="G221" s="44" t="inlineStr">
        <is>
          <t>⭐⭐</t>
        </is>
      </c>
      <c r="H221" s="44" t="inlineStr">
        <is>
          <t>#競爭加劇 #降評</t>
        </is>
      </c>
    </row>
    <row r="222">
      <c r="A222" s="42" t="n">
        <v>221</v>
      </c>
      <c r="B222" s="43" t="inlineStr">
        <is>
          <t>2025/11/11</t>
        </is>
      </c>
      <c r="C222" s="44" t="inlineStr">
        <is>
          <t>緯穎</t>
        </is>
      </c>
      <c r="D222" s="42" t="n">
        <v>6669</v>
      </c>
      <c r="E222" s="44" t="inlineStr">
        <is>
          <t>美系大行</t>
        </is>
      </c>
      <c r="F222" s="44" t="inlineStr">
        <is>
          <t>升評升目標</t>
        </is>
      </c>
      <c r="G222" s="44" t="inlineStr">
        <is>
          <t>⭐⭐⭐⭐⭐</t>
        </is>
      </c>
      <c r="H222" s="44" t="inlineStr">
        <is>
          <t>#ASIC #AWS_Trainium #Meta_MI450 #微軟上調</t>
        </is>
      </c>
    </row>
    <row r="223">
      <c r="A223" s="42" t="n">
        <v>222</v>
      </c>
      <c r="B223" s="43" t="inlineStr">
        <is>
          <t>2025/11/11</t>
        </is>
      </c>
      <c r="C223" s="44" t="inlineStr">
        <is>
          <t>華邦電</t>
        </is>
      </c>
      <c r="D223" s="42" t="n">
        <v>2344</v>
      </c>
      <c r="E223" s="44" t="inlineStr">
        <is>
          <t>美系大行</t>
        </is>
      </c>
      <c r="F223" s="44" t="inlineStr">
        <is>
          <t>重申首選</t>
        </is>
      </c>
      <c r="G223" s="44" t="inlineStr">
        <is>
          <t>⭐⭐⭐⭐⭐</t>
        </is>
      </c>
      <c r="H223" s="44" t="inlineStr">
        <is>
          <t>#10月營收年增57% #NOR漲價 #首選</t>
        </is>
      </c>
    </row>
    <row r="224">
      <c r="A224" s="42" t="n">
        <v>223</v>
      </c>
      <c r="B224" s="43" t="inlineStr">
        <is>
          <t>2025/11/11</t>
        </is>
      </c>
      <c r="C224" s="44" t="inlineStr">
        <is>
          <t>台達電</t>
        </is>
      </c>
      <c r="D224" s="42" t="n">
        <v>2308</v>
      </c>
      <c r="E224" s="44" t="inlineStr">
        <is>
          <t>美系大行</t>
        </is>
      </c>
      <c r="F224" s="44" t="inlineStr">
        <is>
          <t>10月營收再新高</t>
        </is>
      </c>
      <c r="G224" s="44" t="inlineStr">
        <is>
          <t>⭐⭐⭐⭐⭐</t>
        </is>
      </c>
      <c r="H224" s="44" t="inlineStr">
        <is>
          <t>#10月營收新高 #水冷高峰 #首選</t>
        </is>
      </c>
    </row>
    <row r="225">
      <c r="A225" s="42" t="n">
        <v>224</v>
      </c>
      <c r="B225" s="43" t="inlineStr">
        <is>
          <t>2025/11/11</t>
        </is>
      </c>
      <c r="C225" s="44" t="inlineStr">
        <is>
          <t>旺矽</t>
        </is>
      </c>
      <c r="D225" s="42" t="n">
        <v>6223</v>
      </c>
      <c r="E225" s="44" t="inlineStr">
        <is>
          <t>美系券商</t>
        </is>
      </c>
      <c r="F225" s="44" t="inlineStr">
        <is>
          <t>重申正向</t>
        </is>
      </c>
      <c r="G225" s="44" t="inlineStr">
        <is>
          <t>⭐⭐⭐⭐</t>
        </is>
      </c>
      <c r="H225" s="44" t="inlineStr">
        <is>
          <t>#AST #零組件短缺 #4Q回升</t>
        </is>
      </c>
    </row>
    <row r="226">
      <c r="A226" s="42" t="n">
        <v>225</v>
      </c>
      <c r="B226" s="43" t="inlineStr">
        <is>
          <t>2025/07/11</t>
        </is>
      </c>
      <c r="C226" s="44" t="inlineStr">
        <is>
          <t>愛普</t>
        </is>
      </c>
      <c r="D226" s="42" t="n">
        <v>6531</v>
      </c>
      <c r="E226" s="44" t="inlineStr">
        <is>
          <t>美系大行</t>
        </is>
      </c>
      <c r="F226" s="44" t="inlineStr">
        <is>
          <t>升評至OW</t>
        </is>
      </c>
      <c r="G226" s="44" t="inlineStr">
        <is>
          <t>⭐⭐⭐⭐⭐</t>
        </is>
      </c>
      <c r="H226" s="44" t="inlineStr">
        <is>
          <t>#WoW #VHM #Edge_AI #65頁報告</t>
        </is>
      </c>
    </row>
    <row r="227">
      <c r="A227" s="42" t="n">
        <v>226</v>
      </c>
      <c r="B227" s="43" t="inlineStr">
        <is>
          <t>2025/07/11</t>
        </is>
      </c>
      <c r="C227" s="44" t="inlineStr">
        <is>
          <t>華邦電</t>
        </is>
      </c>
      <c r="D227" s="42" t="n">
        <v>2344</v>
      </c>
      <c r="E227" s="44" t="inlineStr">
        <is>
          <t>美系大行</t>
        </is>
      </c>
      <c r="F227" s="44" t="inlineStr">
        <is>
          <t>CUBE正面</t>
        </is>
      </c>
      <c r="G227" s="44" t="inlineStr">
        <is>
          <t>⭐⭐⭐⭐⭐</t>
        </is>
      </c>
      <c r="H227" s="44" t="inlineStr">
        <is>
          <t>#CUBE #2層量產 #4層商用</t>
        </is>
      </c>
    </row>
    <row r="228">
      <c r="A228" s="42" t="n">
        <v>227</v>
      </c>
      <c r="B228" s="43" t="inlineStr">
        <is>
          <t>2025/07/11</t>
        </is>
      </c>
      <c r="C228" s="44" t="inlineStr">
        <is>
          <t>南亞科</t>
        </is>
      </c>
      <c r="D228" s="42" t="n">
        <v>2408</v>
      </c>
      <c r="E228" s="44" t="inlineStr">
        <is>
          <t>美系大行</t>
        </is>
      </c>
      <c r="F228" s="44" t="inlineStr">
        <is>
          <t>維持EW</t>
        </is>
      </c>
      <c r="G228" s="44" t="inlineStr">
        <is>
          <t>⭐⭐⭐</t>
        </is>
      </c>
      <c r="H228" s="44" t="inlineStr">
        <is>
          <t>#法說會 #4Q損益兩平 #DDR5雙位數</t>
        </is>
      </c>
    </row>
    <row r="229">
      <c r="A229" s="42" t="n">
        <v>228</v>
      </c>
      <c r="B229" s="43" t="inlineStr">
        <is>
          <t>2025/07/11</t>
        </is>
      </c>
      <c r="C229" s="44" t="inlineStr">
        <is>
          <t>大立光</t>
        </is>
      </c>
      <c r="D229" s="42" t="n">
        <v>3008</v>
      </c>
      <c r="E229" s="44" t="inlineStr">
        <is>
          <t>美系大行</t>
        </is>
      </c>
      <c r="F229" s="44" t="inlineStr">
        <is>
          <t>維持正向</t>
        </is>
      </c>
      <c r="G229" s="44" t="inlineStr">
        <is>
          <t>⭐⭐⭐⭐</t>
        </is>
      </c>
      <c r="H229" s="44" t="inlineStr">
        <is>
          <t>#法說會 #毛利率53.6% #新機種</t>
        </is>
      </c>
    </row>
    <row r="230">
      <c r="A230" s="42" t="n">
        <v>229</v>
      </c>
      <c r="B230" s="43" t="inlineStr">
        <is>
          <t>2025/07/09</t>
        </is>
      </c>
      <c r="C230" s="44" t="inlineStr">
        <is>
          <t>貿聯</t>
        </is>
      </c>
      <c r="D230" s="42" t="n">
        <v>3665</v>
      </c>
      <c r="E230" s="44" t="inlineStr">
        <is>
          <t>亞系券商</t>
        </is>
      </c>
      <c r="F230" s="44" t="inlineStr">
        <is>
          <t>升目標</t>
        </is>
      </c>
      <c r="G230" s="44" t="inlineStr">
        <is>
          <t>⭐⭐⭐⭐⭐</t>
        </is>
      </c>
      <c r="H230" s="44" t="inlineStr">
        <is>
          <t>#AEC #營收佔比18%</t>
        </is>
      </c>
    </row>
    <row r="231">
      <c r="A231" s="42" t="n">
        <v>230</v>
      </c>
      <c r="B231" s="43" t="inlineStr">
        <is>
          <t>2025/07/09</t>
        </is>
      </c>
      <c r="C231" s="44" t="inlineStr">
        <is>
          <t>智邦</t>
        </is>
      </c>
      <c r="D231" s="42" t="n">
        <v>2345</v>
      </c>
      <c r="E231" s="44" t="inlineStr">
        <is>
          <t>美系券商</t>
        </is>
      </c>
      <c r="F231" s="44" t="inlineStr">
        <is>
          <t>重申正向</t>
        </is>
      </c>
      <c r="G231" s="44" t="inlineStr">
        <is>
          <t>⭐⭐⭐⭐⭐</t>
        </is>
      </c>
      <c r="H231" s="44" t="inlineStr">
        <is>
          <t>#6月營收新高 #2Q季增42% #800G</t>
        </is>
      </c>
    </row>
    <row r="232">
      <c r="A232" s="42" t="n">
        <v>231</v>
      </c>
      <c r="B232" s="43" t="inlineStr">
        <is>
          <t>2025/07/08</t>
        </is>
      </c>
      <c r="C232" s="44" t="inlineStr">
        <is>
          <t>奇鋐</t>
        </is>
      </c>
      <c r="D232" s="42" t="n">
        <v>3017</v>
      </c>
      <c r="E232" s="44" t="inlineStr">
        <is>
          <t>美系大行</t>
        </is>
      </c>
      <c r="F232" s="44" t="inlineStr">
        <is>
          <t>升目標</t>
        </is>
      </c>
      <c r="G232" s="44" t="inlineStr">
        <is>
          <t>⭐⭐⭐⭐⭐</t>
        </is>
      </c>
      <c r="H232" s="44" t="inlineStr">
        <is>
          <t>#6月破百億 #2Q年增80% #水冷 #GB300</t>
        </is>
      </c>
    </row>
    <row r="233">
      <c r="A233" s="42" t="n">
        <v>232</v>
      </c>
      <c r="B233" s="43" t="inlineStr">
        <is>
          <t>2025/07/08</t>
        </is>
      </c>
      <c r="C233" s="44" t="inlineStr">
        <is>
          <t>富世達</t>
        </is>
      </c>
      <c r="D233" s="42" t="n">
        <v>6805</v>
      </c>
      <c r="E233" s="44" t="inlineStr">
        <is>
          <t>美系大行</t>
        </is>
      </c>
      <c r="F233" s="44" t="inlineStr">
        <is>
          <t>重申正向</t>
        </is>
      </c>
      <c r="G233" s="44" t="inlineStr">
        <is>
          <t>⭐⭐⭐⭐⭐</t>
        </is>
      </c>
      <c r="H233" s="44" t="inlineStr">
        <is>
          <t>#伺服器佔比30% #27年47% #QD #滑軌</t>
        </is>
      </c>
    </row>
    <row r="234">
      <c r="A234" s="42" t="n">
        <v>233</v>
      </c>
      <c r="B234" s="43" t="inlineStr">
        <is>
          <t>2025/07/08</t>
        </is>
      </c>
      <c r="C234" s="44" t="inlineStr">
        <is>
          <t>研華</t>
        </is>
      </c>
      <c r="D234" s="42" t="n">
        <v>2395</v>
      </c>
      <c r="E234" s="44" t="inlineStr">
        <is>
          <t>美系大行</t>
        </is>
      </c>
      <c r="F234" s="44" t="inlineStr">
        <is>
          <t>重申正向</t>
        </is>
      </c>
      <c r="G234" s="44" t="inlineStr">
        <is>
          <t>⭐⭐⭐⭐</t>
        </is>
      </c>
      <c r="H234" s="44" t="inlineStr">
        <is>
          <t>#2Q符合預期 #BB_ratio大於1</t>
        </is>
      </c>
    </row>
    <row r="235">
      <c r="A235" s="42" t="n">
        <v>234</v>
      </c>
      <c r="B235" s="43" t="inlineStr">
        <is>
          <t>2025/07/08</t>
        </is>
      </c>
      <c r="C235" s="44" t="inlineStr">
        <is>
          <t>致茂</t>
        </is>
      </c>
      <c r="D235" s="42" t="n">
        <v>2360</v>
      </c>
      <c r="E235" s="44" t="inlineStr">
        <is>
          <t>美系大行</t>
        </is>
      </c>
      <c r="F235" s="44" t="inlineStr">
        <is>
          <t>重申正向</t>
        </is>
      </c>
      <c r="G235" s="44" t="inlineStr">
        <is>
          <t>⭐⭐⭐⭐</t>
        </is>
      </c>
      <c r="H235" s="44" t="inlineStr">
        <is>
          <t>#SLT #Power_testing #Metrology</t>
        </is>
      </c>
    </row>
    <row r="236">
      <c r="A236" s="42" t="n">
        <v>235</v>
      </c>
      <c r="B236" s="43" t="inlineStr">
        <is>
          <t>2025/07/04</t>
        </is>
      </c>
      <c r="C236" s="44" t="inlineStr">
        <is>
          <t>奇鋐</t>
        </is>
      </c>
      <c r="D236" s="42" t="n">
        <v>3017</v>
      </c>
      <c r="E236" s="44" t="inlineStr">
        <is>
          <t>澳系券商</t>
        </is>
      </c>
      <c r="F236" s="44" t="inlineStr">
        <is>
          <t>升目標</t>
        </is>
      </c>
      <c r="G236" s="44" t="inlineStr">
        <is>
          <t>⭐⭐⭐⭐⭐</t>
        </is>
      </c>
      <c r="H236" s="44" t="inlineStr">
        <is>
          <t>#水冷36% #市佔40% #機殼年增84% #slim_VC</t>
        </is>
      </c>
    </row>
    <row r="237">
      <c r="A237" s="42" t="n">
        <v>236</v>
      </c>
      <c r="B237" s="43" t="inlineStr">
        <is>
          <t>2025/07/04</t>
        </is>
      </c>
      <c r="C237" s="44" t="inlineStr">
        <is>
          <t>台燿</t>
        </is>
      </c>
      <c r="D237" s="42" t="n">
        <v>6274</v>
      </c>
      <c r="E237" s="44" t="inlineStr">
        <is>
          <t>美系券商</t>
        </is>
      </c>
      <c r="F237" s="44" t="inlineStr">
        <is>
          <t>重申正向</t>
        </is>
      </c>
      <c r="G237" s="44" t="inlineStr">
        <is>
          <t>⭐⭐⭐⭐⭐</t>
        </is>
      </c>
      <c r="H237" s="44" t="inlineStr">
        <is>
          <t>#法說會 #ASP增2-3成 #泰國廠600k</t>
        </is>
      </c>
    </row>
    <row r="238">
      <c r="A238" s="42" t="n">
        <v>237</v>
      </c>
      <c r="B238" s="43" t="inlineStr">
        <is>
          <t>2025/07/04</t>
        </is>
      </c>
      <c r="C238" s="44" t="inlineStr">
        <is>
          <t>台達電</t>
        </is>
      </c>
      <c r="D238" s="42" t="n">
        <v>2308</v>
      </c>
      <c r="E238" s="44" t="inlineStr">
        <is>
          <t>美系券商</t>
        </is>
      </c>
      <c r="F238" s="44" t="inlineStr">
        <is>
          <t>升目標</t>
        </is>
      </c>
      <c r="G238" s="44" t="inlineStr">
        <is>
          <t>⭐⭐⭐⭐⭐</t>
        </is>
      </c>
      <c r="H238" s="44" t="inlineStr">
        <is>
          <t>#2Q_EPS_4.53 #功耗升至600kW</t>
        </is>
      </c>
    </row>
    <row r="239">
      <c r="A239" s="42" t="n">
        <v>238</v>
      </c>
      <c r="B239" s="43" t="inlineStr">
        <is>
          <t>2025/07/04</t>
        </is>
      </c>
      <c r="C239" s="44" t="inlineStr">
        <is>
          <t>力積電</t>
        </is>
      </c>
      <c r="D239" s="42" t="n">
        <v>6770</v>
      </c>
      <c r="E239" s="44" t="inlineStr">
        <is>
          <t>美系大行</t>
        </is>
      </c>
      <c r="F239" s="44" t="inlineStr">
        <is>
          <t>維持EW</t>
        </is>
      </c>
      <c r="G239" s="44" t="inlineStr">
        <is>
          <t>⭐⭐⭐</t>
        </is>
      </c>
      <c r="H239" s="44" t="inlineStr">
        <is>
          <t>#GaN #Navitas #認證中</t>
        </is>
      </c>
    </row>
    <row r="240">
      <c r="A240" s="42" t="n">
        <v>239</v>
      </c>
      <c r="B240" s="43" t="inlineStr">
        <is>
          <t>2025/07/03</t>
        </is>
      </c>
      <c r="C240" s="44" t="inlineStr">
        <is>
          <t>新日興</t>
        </is>
      </c>
      <c r="D240" s="42" t="n">
        <v>3376</v>
      </c>
      <c r="E240" s="44" t="inlineStr">
        <is>
          <t>美系券商</t>
        </is>
      </c>
      <c r="F240" s="44" t="inlineStr">
        <is>
          <t>升目標</t>
        </is>
      </c>
      <c r="G240" s="44" t="inlineStr">
        <is>
          <t>⭐⭐⭐⭐⭐</t>
        </is>
      </c>
      <c r="H240" s="44" t="inlineStr">
        <is>
          <t>#MIM #摺疊手機 #AI伺服器 #AR眼鏡</t>
        </is>
      </c>
    </row>
    <row r="241">
      <c r="A241" s="42" t="n">
        <v>240</v>
      </c>
      <c r="B241" s="43" t="inlineStr">
        <is>
          <t>2025/07/03</t>
        </is>
      </c>
      <c r="C241" s="44" t="inlineStr">
        <is>
          <t>萬潤</t>
        </is>
      </c>
      <c r="D241" s="42" t="n">
        <v>6187</v>
      </c>
      <c r="E241" s="44" t="inlineStr">
        <is>
          <t>美系大行</t>
        </is>
      </c>
      <c r="F241" s="44" t="inlineStr">
        <is>
          <t>升目標</t>
        </is>
      </c>
      <c r="G241" s="44" t="inlineStr">
        <is>
          <t>⭐⭐⭐⭐⭐</t>
        </is>
      </c>
      <c r="H241" s="44" t="inlineStr">
        <is>
          <t>#CoWoS_93k #oS獨供 #WMCM #Graphene</t>
        </is>
      </c>
    </row>
    <row r="242">
      <c r="A242" s="42" t="n">
        <v>241</v>
      </c>
      <c r="B242" s="43" t="inlineStr">
        <is>
          <t>2025/07/03</t>
        </is>
      </c>
      <c r="C242" s="44" t="inlineStr">
        <is>
          <t>旺矽</t>
        </is>
      </c>
      <c r="D242" s="42" t="n">
        <v>6223</v>
      </c>
      <c r="E242" s="44" t="inlineStr">
        <is>
          <t>美系券商</t>
        </is>
      </c>
      <c r="F242" s="44" t="inlineStr">
        <is>
          <t>重申正面</t>
        </is>
      </c>
      <c r="G242" s="44" t="inlineStr">
        <is>
          <t>⭐⭐⭐⭐⭐</t>
        </is>
      </c>
      <c r="H242" s="44" t="inlineStr">
        <is>
          <t>#chiplet #VPC_1.2M #MEMS</t>
        </is>
      </c>
    </row>
    <row r="243">
      <c r="A243" s="42" t="n">
        <v>242</v>
      </c>
      <c r="B243" s="43" t="inlineStr">
        <is>
          <t>2025/07/02</t>
        </is>
      </c>
      <c r="C243" s="44" t="inlineStr">
        <is>
          <t>緯創</t>
        </is>
      </c>
      <c r="D243" s="42" t="n">
        <v>3231</v>
      </c>
      <c r="E243" s="44" t="inlineStr">
        <is>
          <t>美系大行</t>
        </is>
      </c>
      <c r="F243" s="44" t="inlineStr">
        <is>
          <t>維持正面</t>
        </is>
      </c>
      <c r="G243" s="44" t="inlineStr">
        <is>
          <t>⭐⭐⭐⭐</t>
        </is>
      </c>
      <c r="H243" s="44" t="inlineStr">
        <is>
          <t>#L10 #商業模式改變</t>
        </is>
      </c>
    </row>
    <row r="244">
      <c r="A244" s="42" t="n">
        <v>243</v>
      </c>
      <c r="B244" s="43" t="inlineStr">
        <is>
          <t>2025/07/02</t>
        </is>
      </c>
      <c r="C244" s="44" t="inlineStr">
        <is>
          <t>緯穎</t>
        </is>
      </c>
      <c r="D244" s="42" t="n">
        <v>6669</v>
      </c>
      <c r="E244" s="44" t="inlineStr">
        <is>
          <t>美系大行</t>
        </is>
      </c>
      <c r="F244" s="44" t="inlineStr">
        <is>
          <t>維持正面</t>
        </is>
      </c>
      <c r="G244" s="44" t="inlineStr">
        <is>
          <t>⭐⭐⭐⭐</t>
        </is>
      </c>
      <c r="H244" s="44" t="inlineStr">
        <is>
          <t>#GB200 #供應鏈</t>
        </is>
      </c>
    </row>
    <row r="245">
      <c r="A245" s="42" t="n">
        <v>244</v>
      </c>
      <c r="B245" s="43" t="inlineStr">
        <is>
          <t>2025/07/02</t>
        </is>
      </c>
      <c r="C245" s="44" t="inlineStr">
        <is>
          <t>廣達</t>
        </is>
      </c>
      <c r="D245" s="42" t="n">
        <v>2382</v>
      </c>
      <c r="E245" s="44" t="inlineStr">
        <is>
          <t>美系大行</t>
        </is>
      </c>
      <c r="F245" s="44" t="inlineStr">
        <is>
          <t>維持正面</t>
        </is>
      </c>
      <c r="G245" s="44" t="inlineStr">
        <is>
          <t>⭐⭐⭐⭐</t>
        </is>
      </c>
      <c r="H245" s="44" t="inlineStr">
        <is>
          <t>#L11 #組裝測試</t>
        </is>
      </c>
    </row>
    <row r="246">
      <c r="A246" s="42" t="n">
        <v>245</v>
      </c>
      <c r="B246" s="43" t="inlineStr">
        <is>
          <t>2025/07/01</t>
        </is>
      </c>
      <c r="C246" s="44" t="inlineStr">
        <is>
          <t>台達電</t>
        </is>
      </c>
      <c r="D246" s="42" t="n">
        <v>2308</v>
      </c>
      <c r="E246" s="44" t="inlineStr">
        <is>
          <t>亞系券商</t>
        </is>
      </c>
      <c r="F246" s="44" t="inlineStr">
        <is>
          <t>升目標</t>
        </is>
      </c>
      <c r="G246" s="44" t="inlineStr">
        <is>
          <t>⭐⭐⭐⭐⭐</t>
        </is>
      </c>
      <c r="H246" s="44" t="inlineStr">
        <is>
          <t>#rack-level #HVDC_800V #12kW #電源750億</t>
        </is>
      </c>
    </row>
    <row r="247">
      <c r="A247" s="42" t="n">
        <v>246</v>
      </c>
      <c r="B247" s="43" t="inlineStr">
        <is>
          <t>2025/06/26</t>
        </is>
      </c>
      <c r="C247" s="44" t="inlineStr">
        <is>
          <t>台達電</t>
        </is>
      </c>
      <c r="D247" s="42" t="n">
        <v>2308</v>
      </c>
      <c r="E247" s="44" t="inlineStr">
        <is>
          <t>亞系券商</t>
        </is>
      </c>
      <c r="F247" s="44" t="inlineStr">
        <is>
          <t>升目標</t>
        </is>
      </c>
      <c r="G247" s="44" t="inlineStr">
        <is>
          <t>⭐⭐⭐⭐⭐</t>
        </is>
      </c>
      <c r="H247" s="44" t="inlineStr">
        <is>
          <t>#12kW #Kyber #水冷</t>
        </is>
      </c>
    </row>
    <row r="248">
      <c r="A248" s="42" t="n">
        <v>247</v>
      </c>
      <c r="B248" s="43" t="inlineStr">
        <is>
          <t>2025/06/26</t>
        </is>
      </c>
      <c r="C248" s="44" t="inlineStr">
        <is>
          <t>廣達</t>
        </is>
      </c>
      <c r="D248" s="42" t="n">
        <v>2382</v>
      </c>
      <c r="E248" s="44" t="inlineStr">
        <is>
          <t>澳系券商</t>
        </is>
      </c>
      <c r="F248" s="44" t="inlineStr">
        <is>
          <t>升目標</t>
        </is>
      </c>
      <c r="G248" s="44" t="inlineStr">
        <is>
          <t>⭐⭐⭐⭐⭐</t>
        </is>
      </c>
      <c r="H248" s="44" t="inlineStr">
        <is>
          <t>#Meta主供 #GB佔比25-30% #微軟甲骨文</t>
        </is>
      </c>
    </row>
    <row r="249">
      <c r="A249" s="42" t="n">
        <v>248</v>
      </c>
      <c r="B249" s="43" t="inlineStr">
        <is>
          <t>2025/06/26</t>
        </is>
      </c>
      <c r="C249" s="44" t="inlineStr">
        <is>
          <t>信驊</t>
        </is>
      </c>
      <c r="D249" s="42" t="n">
        <v>5274</v>
      </c>
      <c r="E249" s="44" t="inlineStr">
        <is>
          <t>美系券商</t>
        </is>
      </c>
      <c r="F249" s="44" t="inlineStr">
        <is>
          <t>升目標</t>
        </is>
      </c>
      <c r="G249" s="44" t="inlineStr">
        <is>
          <t>⭐⭐⭐⭐⭐</t>
        </is>
      </c>
      <c r="H249" s="44" t="inlineStr">
        <is>
          <t>#北美CSP #毛利率67% #高階BMC</t>
        </is>
      </c>
    </row>
    <row r="250">
      <c r="A250" s="42" t="n">
        <v>249</v>
      </c>
      <c r="B250" s="43" t="inlineStr">
        <is>
          <t>2025/06/26</t>
        </is>
      </c>
      <c r="C250" s="44" t="inlineStr">
        <is>
          <t>金像電</t>
        </is>
      </c>
      <c r="D250" s="42" t="n">
        <v>2368</v>
      </c>
      <c r="E250" s="44" t="inlineStr">
        <is>
          <t>亞系券商</t>
        </is>
      </c>
      <c r="F250" s="44" t="inlineStr">
        <is>
          <t>升目標</t>
        </is>
      </c>
      <c r="G250" s="44" t="inlineStr">
        <is>
          <t>⭐⭐⭐⭐⭐</t>
        </is>
      </c>
      <c r="H250" s="44" t="inlineStr">
        <is>
          <t>#M8 #CCL漲價 #AWS_TPU_MTIA</t>
        </is>
      </c>
    </row>
    <row r="251">
      <c r="A251" s="42" t="n">
        <v>250</v>
      </c>
      <c r="B251" s="43" t="inlineStr">
        <is>
          <t>2025/06/26</t>
        </is>
      </c>
      <c r="C251" s="44" t="inlineStr">
        <is>
          <t>台光電</t>
        </is>
      </c>
      <c r="D251" s="42" t="n">
        <v>2383</v>
      </c>
      <c r="E251" s="44" t="inlineStr">
        <is>
          <t>亞系券商</t>
        </is>
      </c>
      <c r="F251" s="44" t="inlineStr">
        <is>
          <t>升目標</t>
        </is>
      </c>
      <c r="G251" s="44" t="inlineStr">
        <is>
          <t>⭐⭐⭐⭐⭐</t>
        </is>
      </c>
      <c r="H251" s="44" t="inlineStr">
        <is>
          <t>#M8 #CCL漲價 #Low_Dk產能</t>
        </is>
      </c>
    </row>
    <row r="252">
      <c r="A252" s="42" t="n">
        <v>251</v>
      </c>
      <c r="B252" s="43" t="inlineStr">
        <is>
          <t>2025/06/26</t>
        </is>
      </c>
      <c r="C252" s="44" t="inlineStr">
        <is>
          <t>台燿</t>
        </is>
      </c>
      <c r="D252" s="42" t="n">
        <v>6274</v>
      </c>
      <c r="E252" s="44" t="inlineStr">
        <is>
          <t>亞系券商</t>
        </is>
      </c>
      <c r="F252" s="44" t="inlineStr">
        <is>
          <t>升目標</t>
        </is>
      </c>
      <c r="G252" s="44" t="inlineStr">
        <is>
          <t>⭐⭐⭐⭐⭐</t>
        </is>
      </c>
      <c r="H252" s="44" t="inlineStr">
        <is>
          <t>#M8 #外溢單 #訂單滿載</t>
        </is>
      </c>
    </row>
    <row r="253">
      <c r="A253" s="42" t="n">
        <v>252</v>
      </c>
      <c r="B253" s="43" t="inlineStr">
        <is>
          <t>2025/06/26</t>
        </is>
      </c>
      <c r="C253" s="44" t="inlineStr">
        <is>
          <t>聯茂</t>
        </is>
      </c>
      <c r="D253" s="42" t="n">
        <v>6213</v>
      </c>
      <c r="E253" s="44" t="inlineStr">
        <is>
          <t>亞系券商</t>
        </is>
      </c>
      <c r="F253" s="44" t="inlineStr">
        <is>
          <t>升目標</t>
        </is>
      </c>
      <c r="G253" s="44" t="inlineStr">
        <is>
          <t>⭐⭐⭐⭐⭐</t>
        </is>
      </c>
      <c r="H253" s="44" t="inlineStr">
        <is>
          <t>#M8 #CCL漲價</t>
        </is>
      </c>
    </row>
    <row r="254">
      <c r="A254" s="42" t="n">
        <v>253</v>
      </c>
      <c r="B254" s="43" t="inlineStr">
        <is>
          <t>2025/06/26</t>
        </is>
      </c>
      <c r="C254" s="44" t="inlineStr">
        <is>
          <t>華邦電</t>
        </is>
      </c>
      <c r="D254" s="42" t="n">
        <v>2344</v>
      </c>
      <c r="E254" s="44" t="inlineStr">
        <is>
          <t>美系大行</t>
        </is>
      </c>
      <c r="F254" s="44" t="inlineStr">
        <is>
          <t>升評至OW</t>
        </is>
      </c>
      <c r="G254" s="44" t="inlineStr">
        <is>
          <t>⭐⭐⭐⭐⭐</t>
        </is>
      </c>
      <c r="H254" s="44" t="inlineStr">
        <is>
          <t>#DDR4上升週期 #升評OW #NOR漲價</t>
        </is>
      </c>
    </row>
    <row r="255">
      <c r="A255" s="42" t="n">
        <v>254</v>
      </c>
      <c r="B255" s="43" t="inlineStr">
        <is>
          <t>2025/06/26</t>
        </is>
      </c>
      <c r="C255" s="44" t="inlineStr">
        <is>
          <t>萬潤</t>
        </is>
      </c>
      <c r="D255" s="42" t="n">
        <v>6187</v>
      </c>
      <c r="E255" s="44" t="inlineStr">
        <is>
          <t>美系券商</t>
        </is>
      </c>
      <c r="F255" s="44" t="inlineStr">
        <is>
          <t>初評正向</t>
        </is>
      </c>
      <c r="G255" s="44" t="inlineStr">
        <is>
          <t>⭐⭐⭐⭐⭐</t>
        </is>
      </c>
      <c r="H255" s="44" t="inlineStr">
        <is>
          <t>#CoWoS #SoIC #初評</t>
        </is>
      </c>
    </row>
    <row r="256">
      <c r="A256" s="42" t="n">
        <v>255</v>
      </c>
      <c r="B256" s="43" t="inlineStr">
        <is>
          <t>2025/06/26</t>
        </is>
      </c>
      <c r="C256" s="44" t="inlineStr">
        <is>
          <t>弘塑</t>
        </is>
      </c>
      <c r="D256" s="42" t="n">
        <v>3131</v>
      </c>
      <c r="E256" s="44" t="inlineStr">
        <is>
          <t>美系券商</t>
        </is>
      </c>
      <c r="F256" s="44" t="inlineStr">
        <is>
          <t>初評正向</t>
        </is>
      </c>
      <c r="G256" s="44" t="inlineStr">
        <is>
          <t>⭐⭐⭐⭐⭐</t>
        </is>
      </c>
      <c r="H256" s="44" t="inlineStr">
        <is>
          <t>#CoWoS #SoIC #初評</t>
        </is>
      </c>
    </row>
    <row r="257">
      <c r="A257" s="42" t="n">
        <v>256</v>
      </c>
      <c r="B257" s="43" t="inlineStr">
        <is>
          <t>2025/06/25</t>
        </is>
      </c>
      <c r="C257" s="44" t="inlineStr">
        <is>
          <t>富世達</t>
        </is>
      </c>
      <c r="D257" s="42" t="n">
        <v>6805</v>
      </c>
      <c r="E257" s="44" t="inlineStr">
        <is>
          <t>美系大行</t>
        </is>
      </c>
      <c r="F257" s="44" t="inlineStr">
        <is>
          <t>初評正向</t>
        </is>
      </c>
      <c r="G257" s="44" t="inlineStr">
        <is>
          <t>⭐⭐⭐⭐⭐</t>
        </is>
      </c>
      <c r="H257" s="44" t="inlineStr">
        <is>
          <t>#初評 #伺服器47% #CAGR14%</t>
        </is>
      </c>
    </row>
    <row r="258">
      <c r="A258" s="42" t="n">
        <v>257</v>
      </c>
      <c r="B258" s="43" t="inlineStr">
        <is>
          <t>2025/06/25</t>
        </is>
      </c>
      <c r="C258" s="44" t="inlineStr">
        <is>
          <t>台光電</t>
        </is>
      </c>
      <c r="D258" s="42" t="n">
        <v>2383</v>
      </c>
      <c r="E258" s="44" t="inlineStr">
        <is>
          <t>亞系券商</t>
        </is>
      </c>
      <c r="F258" s="44" t="inlineStr">
        <is>
          <t>升目標</t>
        </is>
      </c>
      <c r="G258" s="44" t="inlineStr">
        <is>
          <t>⭐⭐⭐⭐⭐</t>
        </is>
      </c>
      <c r="H258" s="44" t="inlineStr">
        <is>
          <t>#ASIC_CAGR96% #CCL升級 #原料緊缺</t>
        </is>
      </c>
    </row>
    <row r="259">
      <c r="A259" s="42" t="n">
        <v>258</v>
      </c>
      <c r="B259" s="43" t="inlineStr">
        <is>
          <t>2025/06/25</t>
        </is>
      </c>
      <c r="C259" s="44" t="inlineStr">
        <is>
          <t>台燿</t>
        </is>
      </c>
      <c r="D259" s="42" t="n">
        <v>6274</v>
      </c>
      <c r="E259" s="44" t="inlineStr">
        <is>
          <t>亞系券商</t>
        </is>
      </c>
      <c r="F259" s="44" t="inlineStr">
        <is>
          <t>升目標</t>
        </is>
      </c>
      <c r="G259" s="44" t="inlineStr">
        <is>
          <t>⭐⭐⭐⭐⭐</t>
        </is>
      </c>
      <c r="H259" s="44" t="inlineStr">
        <is>
          <t>#ASIC_CAGR96% #CCL升級</t>
        </is>
      </c>
    </row>
    <row r="260">
      <c r="A260" s="42" t="n">
        <v>259</v>
      </c>
      <c r="B260" s="43" t="inlineStr">
        <is>
          <t>2025/06/25</t>
        </is>
      </c>
      <c r="C260" s="44" t="inlineStr">
        <is>
          <t>聯茂</t>
        </is>
      </c>
      <c r="D260" s="42" t="n">
        <v>6213</v>
      </c>
      <c r="E260" s="44" t="inlineStr">
        <is>
          <t>亞系券商</t>
        </is>
      </c>
      <c r="F260" s="44" t="inlineStr">
        <is>
          <t>升目標</t>
        </is>
      </c>
      <c r="G260" s="44" t="inlineStr">
        <is>
          <t>⭐⭐⭐⭐⭐</t>
        </is>
      </c>
      <c r="H260" s="44" t="inlineStr">
        <is>
          <t>#ASIC_CAGR96% #CCL升級</t>
        </is>
      </c>
    </row>
    <row r="261">
      <c r="A261" s="42" t="n">
        <v>260</v>
      </c>
      <c r="B261" s="43" t="inlineStr">
        <is>
          <t>2025/06/23</t>
        </is>
      </c>
      <c r="C261" s="44" t="inlineStr">
        <is>
          <t>全新</t>
        </is>
      </c>
      <c r="D261" s="42" t="n">
        <v>2455</v>
      </c>
      <c r="E261" s="44" t="inlineStr">
        <is>
          <t>美系券商</t>
        </is>
      </c>
      <c r="F261" s="44" t="inlineStr">
        <is>
          <t>重申正向</t>
        </is>
      </c>
      <c r="G261" s="44" t="inlineStr">
        <is>
          <t>⭐⭐⭐⭐</t>
        </is>
      </c>
      <c r="H261" s="44" t="inlineStr">
        <is>
          <t>#InP許可恢復 #WiFi7 #資料中心</t>
        </is>
      </c>
    </row>
    <row r="262">
      <c r="A262" s="42" t="n">
        <v>261</v>
      </c>
      <c r="B262" s="43" t="inlineStr">
        <is>
          <t>2025/06/20</t>
        </is>
      </c>
      <c r="C262" s="44" t="inlineStr">
        <is>
          <t>富世達</t>
        </is>
      </c>
      <c r="D262" s="42" t="n">
        <v>6805</v>
      </c>
      <c r="E262" s="44" t="inlineStr">
        <is>
          <t>亞系券商</t>
        </is>
      </c>
      <c r="F262" s="44" t="inlineStr">
        <is>
          <t>升目標</t>
        </is>
      </c>
      <c r="G262" s="44" t="inlineStr">
        <is>
          <t>⭐⭐⭐⭐⭐</t>
        </is>
      </c>
      <c r="H262" s="44" t="inlineStr">
        <is>
          <t>#摺疊機市佔5成 #伺服器20% #營收增2-3成</t>
        </is>
      </c>
    </row>
    <row r="263">
      <c r="A263" s="42" t="n">
        <v>262</v>
      </c>
      <c r="B263" s="43" t="inlineStr">
        <is>
          <t>2025/06/19</t>
        </is>
      </c>
      <c r="C263" s="44" t="inlineStr">
        <is>
          <t>奇鋐</t>
        </is>
      </c>
      <c r="D263" s="42" t="n">
        <v>3017</v>
      </c>
      <c r="E263" s="44" t="inlineStr">
        <is>
          <t>亞系券商</t>
        </is>
      </c>
      <c r="F263" s="44" t="inlineStr">
        <is>
          <t>升目標</t>
        </is>
      </c>
      <c r="G263" s="44" t="inlineStr">
        <is>
          <t>⭐⭐⭐⭐⭐</t>
        </is>
      </c>
      <c r="H263" s="44" t="inlineStr">
        <is>
          <t>#GB300 #ASIC水冷 #two-phase</t>
        </is>
      </c>
    </row>
    <row r="264">
      <c r="A264" s="42" t="n">
        <v>263</v>
      </c>
      <c r="B264" s="43" t="inlineStr">
        <is>
          <t>2025/06/19</t>
        </is>
      </c>
      <c r="C264" s="44" t="inlineStr">
        <is>
          <t>瑞昱</t>
        </is>
      </c>
      <c r="D264" s="42" t="n">
        <v>2379</v>
      </c>
      <c r="E264" s="44" t="inlineStr">
        <is>
          <t>美系大行</t>
        </is>
      </c>
      <c r="F264" s="44" t="inlineStr">
        <is>
          <t>升評升目標</t>
        </is>
      </c>
      <c r="G264" s="44" t="inlineStr">
        <is>
          <t>⭐⭐⭐⭐</t>
        </is>
      </c>
      <c r="H264" s="44" t="inlineStr">
        <is>
          <t>#車用乙太網路 #中國國產化 #市佔15-20%</t>
        </is>
      </c>
    </row>
    <row r="265">
      <c r="A265" s="42" t="n">
        <v>264</v>
      </c>
      <c r="B265" s="43" t="inlineStr">
        <is>
          <t>2025/06/18</t>
        </is>
      </c>
      <c r="C265" s="44" t="inlineStr">
        <is>
          <t>聯亞</t>
        </is>
      </c>
      <c r="D265" s="42" t="n">
        <v>3081</v>
      </c>
      <c r="E265" s="44" t="inlineStr">
        <is>
          <t>美系券商</t>
        </is>
      </c>
      <c r="F265" s="44" t="inlineStr">
        <is>
          <t>重申正向</t>
        </is>
      </c>
      <c r="G265" s="44" t="inlineStr">
        <is>
          <t>⭐⭐⭐⭐⭐</t>
        </is>
      </c>
      <c r="H265" s="44" t="inlineStr">
        <is>
          <t>#SiPh佔比87% #InP許可 #800G</t>
        </is>
      </c>
    </row>
    <row r="266">
      <c r="A266" s="42" t="n">
        <v>265</v>
      </c>
      <c r="B266" s="43" t="inlineStr">
        <is>
          <t>2025/06/17</t>
        </is>
      </c>
      <c r="C266" s="44" t="inlineStr">
        <is>
          <t>台積電</t>
        </is>
      </c>
      <c r="D266" s="42" t="n">
        <v>2330</v>
      </c>
      <c r="E266" s="44" t="inlineStr">
        <is>
          <t>美系大行</t>
        </is>
      </c>
      <c r="F266" s="44" t="inlineStr">
        <is>
          <t>重申正向</t>
        </is>
      </c>
      <c r="G266" s="44" t="inlineStr">
        <is>
          <t>⭐⭐⭐⭐⭐</t>
        </is>
      </c>
      <c r="H266" s="44" t="inlineStr">
        <is>
          <t>#明年漲價 #美國廠漲1成+ #2nm_NovaLake</t>
        </is>
      </c>
    </row>
    <row r="267">
      <c r="A267" s="42" t="n">
        <v>266</v>
      </c>
      <c r="B267" s="43" t="inlineStr">
        <is>
          <t>2025/06/16</t>
        </is>
      </c>
      <c r="C267" s="44" t="inlineStr">
        <is>
          <t>聯發科</t>
        </is>
      </c>
      <c r="D267" s="42" t="n">
        <v>2454</v>
      </c>
      <c r="E267" s="44" t="inlineStr">
        <is>
          <t>美系大行</t>
        </is>
      </c>
      <c r="F267" s="44" t="inlineStr">
        <is>
          <t>重申正向</t>
        </is>
      </c>
      <c r="G267" s="44" t="inlineStr">
        <is>
          <t>⭐⭐⭐⭐⭐</t>
        </is>
      </c>
      <c r="H267" s="44" t="inlineStr">
        <is>
          <t>#TPU_v8p #8月tape_out #明年10億美金</t>
        </is>
      </c>
    </row>
    <row r="268">
      <c r="A268" s="42" t="n">
        <v>267</v>
      </c>
      <c r="B268" s="43" t="inlineStr">
        <is>
          <t>2025/06/16</t>
        </is>
      </c>
      <c r="C268" s="44" t="inlineStr">
        <is>
          <t>全新</t>
        </is>
      </c>
      <c r="D268" s="42" t="n">
        <v>2455</v>
      </c>
      <c r="E268" s="44" t="inlineStr">
        <is>
          <t>亞系券商</t>
        </is>
      </c>
      <c r="F268" s="44" t="inlineStr">
        <is>
          <t>升目標</t>
        </is>
      </c>
      <c r="G268" s="44" t="inlineStr">
        <is>
          <t>⭐⭐⭐⭐⭐</t>
        </is>
      </c>
      <c r="H268" s="44" t="inlineStr">
        <is>
          <t>#800G #InP許可 #3Q季增30%</t>
        </is>
      </c>
    </row>
    <row r="269">
      <c r="A269" s="42" t="n">
        <v>268</v>
      </c>
      <c r="B269" s="43" t="inlineStr">
        <is>
          <t>2025/06/16</t>
        </is>
      </c>
      <c r="C269" s="44" t="inlineStr">
        <is>
          <t>東陽</t>
        </is>
      </c>
      <c r="D269" s="42" t="n">
        <v>1319</v>
      </c>
      <c r="E269" s="44" t="inlineStr">
        <is>
          <t>亞系券商</t>
        </is>
      </c>
      <c r="F269" s="44" t="inlineStr">
        <is>
          <t>降目標</t>
        </is>
      </c>
      <c r="G269" s="44" t="inlineStr">
        <is>
          <t>⭐⭐</t>
        </is>
      </c>
      <c r="H269" s="44" t="inlineStr">
        <is>
          <t>#淡季 #PE歷史高點 #降目標</t>
        </is>
      </c>
    </row>
    <row r="270">
      <c r="A270" s="42" t="n">
        <v>269</v>
      </c>
      <c r="B270" s="43" t="inlineStr">
        <is>
          <t>2025/06/13</t>
        </is>
      </c>
      <c r="C270" s="44" t="inlineStr">
        <is>
          <t>鴻準</t>
        </is>
      </c>
      <c r="D270" s="42" t="n">
        <v>2354</v>
      </c>
      <c r="E270" s="44" t="inlineStr">
        <is>
          <t>美系大行</t>
        </is>
      </c>
      <c r="F270" s="44" t="inlineStr">
        <is>
          <t>維持UW</t>
        </is>
      </c>
      <c r="G270" s="44" t="inlineStr">
        <is>
          <t>⭐⭐</t>
        </is>
      </c>
      <c r="H270" s="44" t="inlineStr">
        <is>
          <t>#Switch2 #營運槓桿低 #維持UW</t>
        </is>
      </c>
    </row>
    <row r="271">
      <c r="A271" s="42" t="n">
        <v>270</v>
      </c>
      <c r="B271" s="43" t="inlineStr">
        <is>
          <t>2025/06/12</t>
        </is>
      </c>
      <c r="C271" s="44" t="inlineStr">
        <is>
          <t>技嘉</t>
        </is>
      </c>
      <c r="D271" s="42" t="n">
        <v>2376</v>
      </c>
      <c r="E271" s="44" t="inlineStr">
        <is>
          <t>美系券商</t>
        </is>
      </c>
      <c r="F271" s="44" t="inlineStr">
        <is>
          <t>升目標</t>
        </is>
      </c>
      <c r="G271" s="44" t="inlineStr">
        <is>
          <t>⭐⭐⭐⭐⭐</t>
        </is>
      </c>
      <c r="H271" s="44" t="inlineStr">
        <is>
          <t>#VGA熱銷 #Tier2_CSP #營收增20%</t>
        </is>
      </c>
    </row>
    <row r="272">
      <c r="A272" s="42" t="n">
        <v>271</v>
      </c>
      <c r="B272" s="43" t="inlineStr">
        <is>
          <t>2025/06/12</t>
        </is>
      </c>
      <c r="C272" s="44" t="inlineStr">
        <is>
          <t>聯發科</t>
        </is>
      </c>
      <c r="D272" s="42" t="n">
        <v>2454</v>
      </c>
      <c r="E272" s="44" t="inlineStr">
        <is>
          <t>亞系券商</t>
        </is>
      </c>
      <c r="F272" s="44" t="inlineStr">
        <is>
          <t>重申中性</t>
        </is>
      </c>
      <c r="G272" s="44" t="inlineStr">
        <is>
          <t>⭐⭐⭐</t>
        </is>
      </c>
      <c r="H272" s="44" t="inlineStr">
        <is>
          <t>#SerDes遞延 #高通收購Alphawave #中性</t>
        </is>
      </c>
    </row>
    <row r="273">
      <c r="A273" s="42" t="n">
        <v>272</v>
      </c>
      <c r="B273" s="43" t="inlineStr">
        <is>
          <t>2025/06/11</t>
        </is>
      </c>
      <c r="C273" s="44" t="inlineStr">
        <is>
          <t>台達電</t>
        </is>
      </c>
      <c r="D273" s="42" t="n">
        <v>2308</v>
      </c>
      <c r="E273" s="44" t="inlineStr">
        <is>
          <t>美系券商</t>
        </is>
      </c>
      <c r="F273" s="44" t="inlineStr">
        <is>
          <t>重申正向</t>
        </is>
      </c>
      <c r="G273" s="44" t="inlineStr">
        <is>
          <t>⭐⭐⭐⭐⭐</t>
        </is>
      </c>
      <c r="H273" s="44" t="inlineStr">
        <is>
          <t>#5月營收增 #毛利率32.5% #Infra年增49%</t>
        </is>
      </c>
    </row>
    <row r="274">
      <c r="A274" s="42" t="n">
        <v>273</v>
      </c>
      <c r="B274" s="43" t="inlineStr">
        <is>
          <t>2025/06/10</t>
        </is>
      </c>
      <c r="C274" s="44" t="inlineStr">
        <is>
          <t>技嘉</t>
        </is>
      </c>
      <c r="D274" s="42" t="n">
        <v>2376</v>
      </c>
      <c r="E274" s="44" t="inlineStr">
        <is>
          <t>美系大行</t>
        </is>
      </c>
      <c r="F274" s="44" t="inlineStr">
        <is>
          <t>重申Top Pick</t>
        </is>
      </c>
      <c r="G274" s="44" t="inlineStr">
        <is>
          <t>⭐⭐⭐⭐</t>
        </is>
      </c>
      <c r="H274" s="44" t="inlineStr">
        <is>
          <t>#關稅豁免急單 #Top_Pick</t>
        </is>
      </c>
    </row>
    <row r="275">
      <c r="A275" s="42" t="n">
        <v>274</v>
      </c>
      <c r="B275" s="43" t="inlineStr">
        <is>
          <t>2025/06/10</t>
        </is>
      </c>
      <c r="C275" s="44" t="inlineStr">
        <is>
          <t>信驊</t>
        </is>
      </c>
      <c r="D275" s="42" t="n">
        <v>5274</v>
      </c>
      <c r="E275" s="44" t="inlineStr">
        <is>
          <t>美系大行</t>
        </is>
      </c>
      <c r="F275" s="44" t="inlineStr">
        <is>
          <t>升評至OW</t>
        </is>
      </c>
      <c r="G275" s="44" t="inlineStr">
        <is>
          <t>⭐⭐⭐⭐⭐</t>
        </is>
      </c>
      <c r="H275" s="44" t="inlineStr">
        <is>
          <t>#升評OW #推論需求 #RTX_600_PRO</t>
        </is>
      </c>
    </row>
    <row r="276">
      <c r="A276" s="42" t="n">
        <v>275</v>
      </c>
      <c r="B276" s="43" t="inlineStr">
        <is>
          <t>2025/06/10</t>
        </is>
      </c>
      <c r="C276" s="44" t="inlineStr">
        <is>
          <t>元太</t>
        </is>
      </c>
      <c r="D276" s="42" t="n">
        <v>8069</v>
      </c>
      <c r="E276" s="44" t="inlineStr">
        <is>
          <t>美系大行</t>
        </is>
      </c>
      <c r="F276" s="44" t="inlineStr">
        <is>
          <t>維持EW</t>
        </is>
      </c>
      <c r="G276" s="44" t="inlineStr">
        <is>
          <t>⭐⭐</t>
        </is>
      </c>
      <c r="H276" s="44" t="inlineStr">
        <is>
          <t>#營收不如預期 #動能疲弱 #維持EW</t>
        </is>
      </c>
    </row>
    <row r="277">
      <c r="A277" s="42" t="n">
        <v>276</v>
      </c>
      <c r="B277" s="43" t="inlineStr">
        <is>
          <t>2025/05/26</t>
        </is>
      </c>
      <c r="C277" s="44" t="inlineStr">
        <is>
          <t>旺矽</t>
        </is>
      </c>
      <c r="D277" s="42" t="n">
        <v>6223</v>
      </c>
      <c r="E277" s="44" t="inlineStr">
        <is>
          <t>美系券商</t>
        </is>
      </c>
      <c r="F277" s="44" t="inlineStr">
        <is>
          <t>初評正向</t>
        </is>
      </c>
      <c r="G277" s="44" t="inlineStr">
        <is>
          <t>⭐⭐⭐⭐⭐</t>
        </is>
      </c>
      <c r="H277" s="44" t="inlineStr">
        <is>
          <t>#初評 #ASP翻倍 #市佔10-14%</t>
        </is>
      </c>
    </row>
    <row r="278">
      <c r="A278" s="42" t="n">
        <v>277</v>
      </c>
      <c r="B278" s="43" t="inlineStr">
        <is>
          <t>2025/05/26</t>
        </is>
      </c>
      <c r="C278" s="44" t="inlineStr">
        <is>
          <t>穎崴</t>
        </is>
      </c>
      <c r="D278" s="42" t="n">
        <v>6515</v>
      </c>
      <c r="E278" s="44" t="inlineStr">
        <is>
          <t>美系券商</t>
        </is>
      </c>
      <c r="F278" s="44" t="inlineStr">
        <is>
          <t>初評正向</t>
        </is>
      </c>
      <c r="G278" s="44" t="inlineStr">
        <is>
          <t>⭐⭐⭐⭐⭐</t>
        </is>
      </c>
      <c r="H278" s="44" t="inlineStr">
        <is>
          <t>#初評 #ASP翻倍 #市佔10-14%</t>
        </is>
      </c>
    </row>
    <row r="279">
      <c r="A279" s="42" t="n">
        <v>278</v>
      </c>
      <c r="B279" s="43" t="inlineStr">
        <is>
          <t>2025/05/28</t>
        </is>
      </c>
      <c r="C279" s="44" t="inlineStr">
        <is>
          <t>緯創</t>
        </is>
      </c>
      <c r="D279" s="42" t="n">
        <v>3231</v>
      </c>
      <c r="E279" s="44" t="inlineStr">
        <is>
          <t>美系大行</t>
        </is>
      </c>
      <c r="F279" s="44" t="inlineStr">
        <is>
          <t>升目標</t>
        </is>
      </c>
      <c r="G279" s="44" t="inlineStr">
        <is>
          <t>⭐⭐⭐⭐⭐</t>
        </is>
      </c>
      <c r="H279" s="44" t="inlineStr">
        <is>
          <t>#rack_5.2k #升目標</t>
        </is>
      </c>
    </row>
    <row r="280">
      <c r="A280" s="42" t="n">
        <v>279</v>
      </c>
      <c r="B280" s="43" t="inlineStr">
        <is>
          <t>2025/05/28</t>
        </is>
      </c>
      <c r="C280" s="44" t="inlineStr">
        <is>
          <t>緯穎</t>
        </is>
      </c>
      <c r="D280" s="42" t="n">
        <v>6669</v>
      </c>
      <c r="E280" s="44" t="inlineStr">
        <is>
          <t>亞系券商</t>
        </is>
      </c>
      <c r="F280" s="44" t="inlineStr">
        <is>
          <t>升目標</t>
        </is>
      </c>
      <c r="G280" s="44" t="inlineStr">
        <is>
          <t>⭐⭐⭐⭐⭐</t>
        </is>
      </c>
      <c r="H280" s="44" t="inlineStr">
        <is>
          <t>#T2_Ultra #Oracle #3Q組裝</t>
        </is>
      </c>
    </row>
    <row r="281">
      <c r="A281" s="42" t="n">
        <v>280</v>
      </c>
      <c r="B281" s="43" t="inlineStr">
        <is>
          <t>2025/05/28</t>
        </is>
      </c>
      <c r="C281" s="44" t="inlineStr">
        <is>
          <t>廣達</t>
        </is>
      </c>
      <c r="D281" s="42" t="n">
        <v>2382</v>
      </c>
      <c r="E281" s="44" t="inlineStr">
        <is>
          <t>美系大行</t>
        </is>
      </c>
      <c r="F281" s="44" t="inlineStr">
        <is>
          <t>升目標</t>
        </is>
      </c>
      <c r="G281" s="44" t="inlineStr">
        <is>
          <t>⭐⭐⭐⭐⭐</t>
        </is>
      </c>
      <c r="H281" s="44" t="inlineStr">
        <is>
          <t>#rack_9.5k #升目標</t>
        </is>
      </c>
    </row>
    <row r="282">
      <c r="A282" s="42" t="n">
        <v>281</v>
      </c>
      <c r="B282" s="43" t="inlineStr">
        <is>
          <t>2025/05/28</t>
        </is>
      </c>
      <c r="C282" s="44" t="inlineStr">
        <is>
          <t>技嘉</t>
        </is>
      </c>
      <c r="D282" s="42" t="n">
        <v>2376</v>
      </c>
      <c r="E282" s="44" t="inlineStr">
        <is>
          <t>美系大行</t>
        </is>
      </c>
      <c r="F282" s="44" t="inlineStr">
        <is>
          <t>升為Top Pick</t>
        </is>
      </c>
      <c r="G282" s="44" t="inlineStr">
        <is>
          <t>⭐⭐⭐⭐⭐</t>
        </is>
      </c>
      <c r="H282" s="44" t="inlineStr">
        <is>
          <t>#Top_Pick #50系列 #PE僅11x</t>
        </is>
      </c>
    </row>
    <row r="283">
      <c r="A283" s="42" t="n">
        <v>282</v>
      </c>
      <c r="B283" s="43" t="inlineStr">
        <is>
          <t>2025/05/28</t>
        </is>
      </c>
      <c r="C283" s="44" t="inlineStr">
        <is>
          <t>富世達</t>
        </is>
      </c>
      <c r="D283" s="42" t="n">
        <v>6805</v>
      </c>
      <c r="E283" s="44" t="inlineStr">
        <is>
          <t>美系券商</t>
        </is>
      </c>
      <c r="F283" s="44" t="inlineStr">
        <is>
          <t>重申正向</t>
        </is>
      </c>
      <c r="G283" s="44" t="inlineStr">
        <is>
          <t>⭐⭐⭐⭐⭐</t>
        </is>
      </c>
      <c r="H283" s="44" t="inlineStr">
        <is>
          <t>#QD_3-7倍 #華為市佔51% #摺疊機</t>
        </is>
      </c>
    </row>
    <row r="284">
      <c r="A284" s="42" t="n">
        <v>283</v>
      </c>
      <c r="B284" s="43" t="inlineStr">
        <is>
          <t>2025/05/29</t>
        </is>
      </c>
      <c r="C284" s="44" t="inlineStr">
        <is>
          <t>台光電</t>
        </is>
      </c>
      <c r="D284" s="42" t="n">
        <v>2383</v>
      </c>
      <c r="E284" s="44" t="inlineStr">
        <is>
          <t>亞系券商</t>
        </is>
      </c>
      <c r="F284" s="44" t="inlineStr">
        <is>
          <t>升目標</t>
        </is>
      </c>
      <c r="G284" s="44" t="inlineStr">
        <is>
          <t>⭐⭐⭐⭐⭐</t>
        </is>
      </c>
      <c r="H284" s="44" t="inlineStr">
        <is>
          <t>#客戶多元化 #Meta_3Q #擴產</t>
        </is>
      </c>
    </row>
    <row r="285">
      <c r="A285" s="42" t="n">
        <v>284</v>
      </c>
      <c r="B285" s="43" t="inlineStr">
        <is>
          <t>2025/06/02</t>
        </is>
      </c>
      <c r="C285" s="44" t="inlineStr">
        <is>
          <t>緯創</t>
        </is>
      </c>
      <c r="D285" s="42" t="n">
        <v>3231</v>
      </c>
      <c r="E285" s="44" t="inlineStr">
        <is>
          <t>美系券商</t>
        </is>
      </c>
      <c r="F285" s="44" t="inlineStr">
        <is>
          <t>升目標</t>
        </is>
      </c>
      <c r="G285" s="44" t="inlineStr">
        <is>
          <t>⭐⭐⭐⭐⭐</t>
        </is>
      </c>
      <c r="H285" s="44" t="inlineStr">
        <is>
          <t>#產品線擴大 #滲透率上升</t>
        </is>
      </c>
    </row>
    <row r="286">
      <c r="A286" s="42" t="n">
        <v>285</v>
      </c>
      <c r="B286" s="43" t="inlineStr">
        <is>
          <t>2025/06/02</t>
        </is>
      </c>
      <c r="C286" s="44" t="inlineStr">
        <is>
          <t>保瑞</t>
        </is>
      </c>
      <c r="D286" s="42" t="n">
        <v>6472</v>
      </c>
      <c r="E286" s="44" t="inlineStr">
        <is>
          <t>美系券商</t>
        </is>
      </c>
      <c r="F286" s="44" t="inlineStr">
        <is>
          <t>初評正向</t>
        </is>
      </c>
      <c r="G286" s="44" t="inlineStr">
        <is>
          <t>⭐⭐⭐⭐⭐</t>
        </is>
      </c>
      <c r="H286" s="44" t="inlineStr">
        <is>
          <t>#初評 #CDMO #EPS_CAGR30%</t>
        </is>
      </c>
    </row>
    <row r="287">
      <c r="A287" s="42" t="n">
        <v>286</v>
      </c>
      <c r="B287" s="43" t="inlineStr">
        <is>
          <t>2025/06/03</t>
        </is>
      </c>
      <c r="C287" s="44" t="inlineStr">
        <is>
          <t>台燿</t>
        </is>
      </c>
      <c r="D287" s="42" t="n">
        <v>6274</v>
      </c>
      <c r="E287" s="44" t="inlineStr">
        <is>
          <t>亞系券商</t>
        </is>
      </c>
      <c r="F287" s="44" t="inlineStr">
        <is>
          <t>升目標</t>
        </is>
      </c>
      <c r="G287" s="44" t="inlineStr">
        <is>
          <t>⭐⭐⭐⭐⭐</t>
        </is>
      </c>
      <c r="H287" s="44" t="inlineStr">
        <is>
          <t>#M8 #稼動率9成+ #毛利率走揚</t>
        </is>
      </c>
    </row>
    <row r="288">
      <c r="A288" s="42" t="n">
        <v>287</v>
      </c>
      <c r="B288" s="43" t="inlineStr">
        <is>
          <t>2025/06/03</t>
        </is>
      </c>
      <c r="C288" s="44" t="inlineStr">
        <is>
          <t>川湖</t>
        </is>
      </c>
      <c r="D288" s="42" t="n">
        <v>2059</v>
      </c>
      <c r="E288" s="44" t="inlineStr">
        <is>
          <t>美系券商</t>
        </is>
      </c>
      <c r="F288" s="44" t="inlineStr">
        <is>
          <t>升目標</t>
        </is>
      </c>
      <c r="G288" s="44" t="inlineStr">
        <is>
          <t>⭐⭐⭐⭐⭐</t>
        </is>
      </c>
      <c r="H288" s="44" t="inlineStr">
        <is>
          <t>#稼動率100% #明年130% #毛利率74%</t>
        </is>
      </c>
    </row>
    <row r="289">
      <c r="A289" s="42" t="n">
        <v>288</v>
      </c>
      <c r="B289" s="43" t="inlineStr">
        <is>
          <t>2025/06/04</t>
        </is>
      </c>
      <c r="C289" s="44" t="inlineStr">
        <is>
          <t>奇鋐</t>
        </is>
      </c>
      <c r="D289" s="42" t="n">
        <v>3017</v>
      </c>
      <c r="E289" s="44" t="inlineStr">
        <is>
          <t>美系券商</t>
        </is>
      </c>
      <c r="F289" s="44" t="inlineStr">
        <is>
          <t>升目標</t>
        </is>
      </c>
      <c r="G289" s="44" t="inlineStr">
        <is>
          <t>⭐⭐⭐⭐⭐</t>
        </is>
      </c>
      <c r="H289" s="44" t="inlineStr">
        <is>
          <t>#水冷良率提升 #ASIC需求 #匯率可控</t>
        </is>
      </c>
    </row>
    <row r="290">
      <c r="A290" s="42" t="n">
        <v>289</v>
      </c>
      <c r="B290" s="43" t="inlineStr">
        <is>
          <t>2025/06/04</t>
        </is>
      </c>
      <c r="C290" s="44" t="inlineStr">
        <is>
          <t>貿聯</t>
        </is>
      </c>
      <c r="D290" s="42" t="n">
        <v>3665</v>
      </c>
      <c r="E290" s="44" t="inlineStr">
        <is>
          <t>美系大行</t>
        </is>
      </c>
      <c r="F290" s="44" t="inlineStr">
        <is>
          <t>重申正向</t>
        </is>
      </c>
      <c r="G290" s="44" t="inlineStr">
        <is>
          <t>⭐⭐⭐⭐⭐</t>
        </is>
      </c>
      <c r="H290" s="44" t="inlineStr">
        <is>
          <t>#Credo #NVLink_Fusion #2個新客戶</t>
        </is>
      </c>
    </row>
    <row r="291">
      <c r="A291" s="42" t="n">
        <v>290</v>
      </c>
      <c r="B291" s="43" t="inlineStr">
        <is>
          <t>2025/06/05</t>
        </is>
      </c>
      <c r="C291" s="44" t="inlineStr">
        <is>
          <t>緯創</t>
        </is>
      </c>
      <c r="D291" s="42" t="n">
        <v>3231</v>
      </c>
      <c r="E291" s="44" t="inlineStr">
        <is>
          <t>美系券商</t>
        </is>
      </c>
      <c r="F291" s="44" t="inlineStr">
        <is>
          <t>重申正向</t>
        </is>
      </c>
      <c r="G291" s="44" t="inlineStr">
        <is>
          <t>⭐⭐⭐⭐⭐</t>
        </is>
      </c>
      <c r="H291" s="44" t="inlineStr">
        <is>
          <t>#5月破2000億 #L10優勢 #Oracle_Cisco</t>
        </is>
      </c>
    </row>
    <row r="292">
      <c r="A292" s="42" t="n">
        <v>291</v>
      </c>
      <c r="B292" s="43" t="inlineStr">
        <is>
          <t>2025/06/05</t>
        </is>
      </c>
      <c r="C292" s="44" t="inlineStr">
        <is>
          <t>台達電</t>
        </is>
      </c>
      <c r="D292" s="42" t="n">
        <v>2308</v>
      </c>
      <c r="E292" s="44" t="inlineStr">
        <is>
          <t>美系大行</t>
        </is>
      </c>
      <c r="F292" s="44" t="inlineStr">
        <is>
          <t>升目標</t>
        </is>
      </c>
      <c r="G292" s="44" t="inlineStr">
        <is>
          <t>⭐⭐⭐⭐⭐</t>
        </is>
      </c>
      <c r="H292" s="44" t="inlineStr">
        <is>
          <t>#800V_HVDC #產值10倍 #Rubin_Ultra</t>
        </is>
      </c>
    </row>
    <row r="293">
      <c r="A293" s="42" t="n">
        <v>292</v>
      </c>
      <c r="B293" s="43" t="inlineStr">
        <is>
          <t>2025/06/06</t>
        </is>
      </c>
      <c r="C293" s="44" t="inlineStr">
        <is>
          <t>奇鋐</t>
        </is>
      </c>
      <c r="D293" s="42" t="n">
        <v>3017</v>
      </c>
      <c r="E293" s="44" t="inlineStr">
        <is>
          <t>美系大行</t>
        </is>
      </c>
      <c r="F293" s="44" t="inlineStr">
        <is>
          <t>升目標</t>
        </is>
      </c>
      <c r="G293" s="44" t="inlineStr">
        <is>
          <t>⭐⭐⭐⭐⭐</t>
        </is>
      </c>
      <c r="H293" s="44" t="inlineStr">
        <is>
          <t>#5月營收新高 #市佔7成 #T2.5水冷</t>
        </is>
      </c>
    </row>
    <row r="294">
      <c r="A294" s="42" t="n">
        <v>293</v>
      </c>
      <c r="B294" s="43" t="inlineStr">
        <is>
          <t>2025/06/06</t>
        </is>
      </c>
      <c r="C294" s="44" t="inlineStr">
        <is>
          <t>台光電</t>
        </is>
      </c>
      <c r="D294" s="42" t="n">
        <v>2383</v>
      </c>
      <c r="E294" s="44" t="inlineStr">
        <is>
          <t>美系券商</t>
        </is>
      </c>
      <c r="F294" s="44" t="inlineStr">
        <is>
          <t>升目標</t>
        </is>
      </c>
      <c r="G294" s="44" t="inlineStr">
        <is>
          <t>⭐⭐⭐⭐⭐</t>
        </is>
      </c>
      <c r="H294" s="44" t="inlineStr">
        <is>
          <t>#市佔8成 #6月年增42% #升目標</t>
        </is>
      </c>
    </row>
    <row r="295">
      <c r="A295" s="42" t="n">
        <v>294</v>
      </c>
      <c r="B295" s="43" t="inlineStr">
        <is>
          <t>2025/06/06</t>
        </is>
      </c>
      <c r="C295" s="44" t="inlineStr">
        <is>
          <t>台燿</t>
        </is>
      </c>
      <c r="D295" s="42" t="n">
        <v>6274</v>
      </c>
      <c r="E295" s="44" t="inlineStr">
        <is>
          <t>美系券商</t>
        </is>
      </c>
      <c r="F295" s="44" t="inlineStr">
        <is>
          <t>升目標</t>
        </is>
      </c>
      <c r="G295" s="44" t="inlineStr">
        <is>
          <t>⭐⭐⭐⭐⭐</t>
        </is>
      </c>
      <c r="H295" s="44" t="inlineStr">
        <is>
          <t>#市佔8成 #6月年增20% #升目標</t>
        </is>
      </c>
    </row>
    <row r="296">
      <c r="A296" s="42" t="n">
        <v>295</v>
      </c>
      <c r="B296" s="43" t="inlineStr">
        <is>
          <t>2025/06/06</t>
        </is>
      </c>
      <c r="C296" s="44" t="inlineStr">
        <is>
          <t>智邦</t>
        </is>
      </c>
      <c r="D296" s="42" t="n">
        <v>2345</v>
      </c>
      <c r="E296" s="44" t="inlineStr">
        <is>
          <t>美系大行</t>
        </is>
      </c>
      <c r="F296" s="44" t="inlineStr">
        <is>
          <t>營收續創新高</t>
        </is>
      </c>
      <c r="G296" s="44" t="inlineStr">
        <is>
          <t>⭐⭐⭐⭐⭐</t>
        </is>
      </c>
      <c r="H296" s="44" t="inlineStr">
        <is>
          <t>#QTD_75% #switch升級</t>
        </is>
      </c>
    </row>
    <row r="297">
      <c r="A297" s="42" t="n">
        <v>296</v>
      </c>
      <c r="B297" s="43" t="inlineStr">
        <is>
          <t>2025/06/06</t>
        </is>
      </c>
      <c r="C297" s="44" t="inlineStr">
        <is>
          <t>貿聯</t>
        </is>
      </c>
      <c r="D297" s="42" t="n">
        <v>3665</v>
      </c>
      <c r="E297" s="44" t="inlineStr">
        <is>
          <t>美系大行</t>
        </is>
      </c>
      <c r="F297" s="44" t="inlineStr">
        <is>
          <t>重申正向</t>
        </is>
      </c>
      <c r="G297" s="44" t="inlineStr">
        <is>
          <t>⭐⭐⭐⭐</t>
        </is>
      </c>
      <c r="H297" s="44" t="inlineStr">
        <is>
          <t>#PEG_0.7 #AEC需求</t>
        </is>
      </c>
    </row>
    <row r="298">
      <c r="A298" s="42" t="n">
        <v>297</v>
      </c>
      <c r="B298" s="43" t="inlineStr">
        <is>
          <t>2025/06/06</t>
        </is>
      </c>
      <c r="C298" s="44" t="inlineStr">
        <is>
          <t>川湖</t>
        </is>
      </c>
      <c r="D298" s="42" t="n">
        <v>2059</v>
      </c>
      <c r="E298" s="44" t="inlineStr">
        <is>
          <t>美系大行</t>
        </is>
      </c>
      <c r="F298" s="44" t="inlineStr">
        <is>
          <t>重申正向</t>
        </is>
      </c>
      <c r="G298" s="44" t="inlineStr">
        <is>
          <t>⭐⭐⭐⭐</t>
        </is>
      </c>
      <c r="H298" s="44" t="inlineStr">
        <is>
          <t>#QTD_71% #優於預期</t>
        </is>
      </c>
    </row>
    <row r="299">
      <c r="A299" s="42" t="n">
        <v>298</v>
      </c>
      <c r="B299" s="43" t="inlineStr">
        <is>
          <t>2025/06/09</t>
        </is>
      </c>
      <c r="C299" s="44" t="inlineStr">
        <is>
          <t>台光電</t>
        </is>
      </c>
      <c r="D299" s="42" t="n">
        <v>2383</v>
      </c>
      <c r="E299" s="44" t="inlineStr">
        <is>
          <t>美系券商</t>
        </is>
      </c>
      <c r="F299" s="44" t="inlineStr">
        <is>
          <t>升目標</t>
        </is>
      </c>
      <c r="G299" s="44" t="inlineStr">
        <is>
          <t>⭐⭐⭐⭐⭐</t>
        </is>
      </c>
      <c r="H299" s="44" t="inlineStr">
        <is>
          <t>#台灣50 #30層+ #漲價預期</t>
        </is>
      </c>
    </row>
    <row r="300">
      <c r="A300" s="42" t="n">
        <v>299</v>
      </c>
      <c r="B300" s="43" t="inlineStr">
        <is>
          <t>2025/06/09</t>
        </is>
      </c>
      <c r="C300" s="44" t="inlineStr">
        <is>
          <t>緯穎</t>
        </is>
      </c>
      <c r="D300" s="42" t="n">
        <v>6669</v>
      </c>
      <c r="E300" s="44" t="inlineStr">
        <is>
          <t>美系券商</t>
        </is>
      </c>
      <c r="F300" s="44" t="inlineStr">
        <is>
          <t>重申正向</t>
        </is>
      </c>
      <c r="G300" s="44" t="inlineStr">
        <is>
          <t>⭐⭐⭐⭐⭐</t>
        </is>
      </c>
      <c r="H300" s="44" t="inlineStr">
        <is>
          <t>#QTD_79% #2Q季增20%</t>
        </is>
      </c>
    </row>
    <row r="301">
      <c r="A301" s="42" t="n">
        <v>300</v>
      </c>
      <c r="B301" s="43" t="inlineStr">
        <is>
          <t>2025/06/09</t>
        </is>
      </c>
      <c r="C301" s="44" t="inlineStr">
        <is>
          <t>雙鴻</t>
        </is>
      </c>
      <c r="D301" s="42" t="n">
        <v>3324</v>
      </c>
      <c r="E301" s="44" t="inlineStr">
        <is>
          <t>美系大行</t>
        </is>
      </c>
      <c r="F301" s="44" t="inlineStr">
        <is>
          <t>升目標</t>
        </is>
      </c>
      <c r="G301" s="44" t="inlineStr">
        <is>
          <t>⭐⭐⭐⭐</t>
        </is>
      </c>
      <c r="H301" s="44" t="inlineStr">
        <is>
          <t>#水冷量產 #2Q季增20-25%</t>
        </is>
      </c>
    </row>
    <row r="302">
      <c r="A302" s="42" t="n">
        <v>301</v>
      </c>
      <c r="B302" s="43" t="inlineStr">
        <is>
          <t>2025/06/09</t>
        </is>
      </c>
      <c r="C302" s="44" t="inlineStr">
        <is>
          <t>研華</t>
        </is>
      </c>
      <c r="D302" s="42" t="n">
        <v>2395</v>
      </c>
      <c r="E302" s="44" t="inlineStr">
        <is>
          <t>美系大行</t>
        </is>
      </c>
      <c r="F302" s="44" t="inlineStr">
        <is>
          <t>重申正向</t>
        </is>
      </c>
      <c r="G302" s="44" t="inlineStr">
        <is>
          <t>⭐⭐⭐⭐</t>
        </is>
      </c>
      <c r="H302" s="44" t="inlineStr">
        <is>
          <t>#QTD_68% #年增2成目標</t>
        </is>
      </c>
    </row>
    <row r="303">
      <c r="A303" s="42" t="n">
        <v>302</v>
      </c>
      <c r="B303" s="43" t="inlineStr">
        <is>
          <t>2025/05/14</t>
        </is>
      </c>
      <c r="C303" s="44" t="inlineStr">
        <is>
          <t>萬潤</t>
        </is>
      </c>
      <c r="D303" s="42" t="n">
        <v>6187</v>
      </c>
      <c r="E303" s="44" t="inlineStr">
        <is>
          <t>美系大行</t>
        </is>
      </c>
      <c r="F303" s="44" t="inlineStr">
        <is>
          <t>降評至EW</t>
        </is>
      </c>
      <c r="G303" s="44" t="inlineStr">
        <is>
          <t>⭐⭐</t>
        </is>
      </c>
      <c r="H303" s="44" t="inlineStr">
        <is>
          <t>#降評EW #毛利率見頂 #CoWoS擴產有限</t>
        </is>
      </c>
    </row>
    <row r="304">
      <c r="A304" s="42" t="n">
        <v>303</v>
      </c>
      <c r="B304" s="43" t="inlineStr">
        <is>
          <t>2025/05/14</t>
        </is>
      </c>
      <c r="C304" s="44" t="inlineStr">
        <is>
          <t>奇鋐</t>
        </is>
      </c>
      <c r="D304" s="42" t="n">
        <v>3017</v>
      </c>
      <c r="E304" s="44" t="inlineStr">
        <is>
          <t>美系大行</t>
        </is>
      </c>
      <c r="F304" s="44" t="inlineStr">
        <is>
          <t>升目標</t>
        </is>
      </c>
      <c r="G304" s="44" t="inlineStr">
        <is>
          <t>⭐⭐⭐⭐⭐</t>
        </is>
      </c>
      <c r="H304" s="44" t="inlineStr">
        <is>
          <t>#年增5成+ #2Q季增15-20% #毛利率26%</t>
        </is>
      </c>
    </row>
    <row r="305">
      <c r="A305" s="42" t="n">
        <v>304</v>
      </c>
      <c r="B305" s="43" t="inlineStr">
        <is>
          <t>2025/05/14</t>
        </is>
      </c>
      <c r="C305" s="44" t="inlineStr">
        <is>
          <t>廣達</t>
        </is>
      </c>
      <c r="D305" s="42" t="n">
        <v>2382</v>
      </c>
      <c r="E305" s="44" t="inlineStr">
        <is>
          <t>美系大行</t>
        </is>
      </c>
      <c r="F305" s="44" t="inlineStr">
        <is>
          <t>升目標</t>
        </is>
      </c>
      <c r="G305" s="44" t="inlineStr">
        <is>
          <t>⭐⭐⭐⭐⭐</t>
        </is>
      </c>
      <c r="H305" s="44" t="inlineStr">
        <is>
          <t>#GB200良率改善 #NB個位數增長</t>
        </is>
      </c>
    </row>
    <row r="306">
      <c r="A306" s="42" t="n">
        <v>305</v>
      </c>
      <c r="B306" s="43" t="inlineStr">
        <is>
          <t>2025/05/14</t>
        </is>
      </c>
      <c r="C306" s="44" t="inlineStr">
        <is>
          <t>英業達</t>
        </is>
      </c>
      <c r="D306" s="42" t="n">
        <v>2356</v>
      </c>
      <c r="E306" s="44" t="inlineStr">
        <is>
          <t>美系券商</t>
        </is>
      </c>
      <c r="F306" s="44" t="inlineStr">
        <is>
          <t>重申正向</t>
        </is>
      </c>
      <c r="G306" s="44" t="inlineStr">
        <is>
          <t>⭐⭐⭐⭐</t>
        </is>
      </c>
      <c r="H306" s="44" t="inlineStr">
        <is>
          <t>#AI佔比提高 #2Q季增8-10%</t>
        </is>
      </c>
    </row>
    <row r="307">
      <c r="A307" s="42" t="n">
        <v>306</v>
      </c>
      <c r="B307" s="43" t="inlineStr">
        <is>
          <t>2025/05/14</t>
        </is>
      </c>
      <c r="C307" s="44" t="inlineStr">
        <is>
          <t>祥碩</t>
        </is>
      </c>
      <c r="D307" s="42" t="n">
        <v>5269</v>
      </c>
      <c r="E307" s="44" t="inlineStr">
        <is>
          <t>美系券商</t>
        </is>
      </c>
      <c r="F307" s="44" t="inlineStr">
        <is>
          <t>重申正向</t>
        </is>
      </c>
      <c r="G307" s="44" t="inlineStr">
        <is>
          <t>⭐⭐⭐⭐</t>
        </is>
      </c>
      <c r="H307" s="44" t="inlineStr">
        <is>
          <t>#客戶市佔提升 #重申正向</t>
        </is>
      </c>
    </row>
    <row r="308">
      <c r="A308" s="42" t="n">
        <v>307</v>
      </c>
      <c r="B308" s="43" t="inlineStr">
        <is>
          <t>2025/05/15</t>
        </is>
      </c>
      <c r="C308" s="44" t="inlineStr">
        <is>
          <t>廣達</t>
        </is>
      </c>
      <c r="D308" s="42" t="n">
        <v>2382</v>
      </c>
      <c r="E308" s="44" t="inlineStr">
        <is>
          <t>美系大行</t>
        </is>
      </c>
      <c r="F308" s="44" t="inlineStr">
        <is>
          <t>升目標</t>
        </is>
      </c>
      <c r="G308" s="44" t="inlineStr">
        <is>
          <t>⭐⭐⭐⭐⭐</t>
        </is>
      </c>
      <c r="H308" s="44" t="inlineStr">
        <is>
          <t>#OPM歷史新高 #2Q季增18% #GB200順利</t>
        </is>
      </c>
    </row>
    <row r="309">
      <c r="A309" s="42" t="n">
        <v>308</v>
      </c>
      <c r="B309" s="43" t="inlineStr">
        <is>
          <t>2025/05/15</t>
        </is>
      </c>
      <c r="C309" s="44" t="inlineStr">
        <is>
          <t>技嘉</t>
        </is>
      </c>
      <c r="D309" s="42" t="n">
        <v>2376</v>
      </c>
      <c r="E309" s="44" t="inlineStr">
        <is>
          <t>美系大行</t>
        </is>
      </c>
      <c r="F309" s="44" t="inlineStr">
        <is>
          <t>升目標</t>
        </is>
      </c>
      <c r="G309" s="44" t="inlineStr">
        <is>
          <t>⭐⭐⭐⭐⭐</t>
        </is>
      </c>
      <c r="H309" s="44" t="inlineStr">
        <is>
          <t>#2Q季增20%+ #三線齊揚</t>
        </is>
      </c>
    </row>
    <row r="310">
      <c r="A310" s="42" t="n">
        <v>309</v>
      </c>
      <c r="B310" s="43" t="inlineStr">
        <is>
          <t>2025/05/15</t>
        </is>
      </c>
      <c r="C310" s="44" t="inlineStr">
        <is>
          <t>南亞科</t>
        </is>
      </c>
      <c r="D310" s="42" t="n">
        <v>2408</v>
      </c>
      <c r="E310" s="44" t="inlineStr">
        <is>
          <t>美系大行</t>
        </is>
      </c>
      <c r="F310" s="44" t="inlineStr">
        <is>
          <t>升評至EW</t>
        </is>
      </c>
      <c r="G310" s="44" t="inlineStr">
        <is>
          <t>⭐⭐⭐⭐</t>
        </is>
      </c>
      <c r="H310" s="44" t="inlineStr">
        <is>
          <t>#升評EW #DDR4_EOL #供應洗牌</t>
        </is>
      </c>
    </row>
    <row r="311">
      <c r="A311" s="42" t="n">
        <v>310</v>
      </c>
      <c r="B311" s="43" t="inlineStr">
        <is>
          <t>2025/05/15</t>
        </is>
      </c>
      <c r="C311" s="44" t="inlineStr">
        <is>
          <t>華邦電</t>
        </is>
      </c>
      <c r="D311" s="42" t="n">
        <v>2344</v>
      </c>
      <c r="E311" s="44" t="inlineStr">
        <is>
          <t>美系大行</t>
        </is>
      </c>
      <c r="F311" s="44" t="inlineStr">
        <is>
          <t>升目標</t>
        </is>
      </c>
      <c r="G311" s="44" t="inlineStr">
        <is>
          <t>⭐⭐⭐⭐</t>
        </is>
      </c>
      <c r="H311" s="44" t="inlineStr">
        <is>
          <t>#3Q漲價 #中國擴產有限</t>
        </is>
      </c>
    </row>
    <row r="312">
      <c r="A312" s="42" t="n">
        <v>311</v>
      </c>
      <c r="B312" s="43" t="inlineStr">
        <is>
          <t>2025/05/15</t>
        </is>
      </c>
      <c r="C312" s="44" t="inlineStr">
        <is>
          <t>仁寶</t>
        </is>
      </c>
      <c r="D312" s="42" t="n">
        <v>2324</v>
      </c>
      <c r="E312" s="44" t="inlineStr">
        <is>
          <t>美系大行</t>
        </is>
      </c>
      <c r="F312" s="44" t="inlineStr">
        <is>
          <t>重申UW</t>
        </is>
      </c>
      <c r="G312" s="44" t="inlineStr">
        <is>
          <t>⭐⭐</t>
        </is>
      </c>
      <c r="H312" s="44" t="inlineStr">
        <is>
          <t>#重申UW #新事業待時間</t>
        </is>
      </c>
    </row>
    <row r="313">
      <c r="A313" s="42" t="n">
        <v>312</v>
      </c>
      <c r="B313" s="43" t="inlineStr">
        <is>
          <t>2025/05/16</t>
        </is>
      </c>
      <c r="C313" s="44" t="inlineStr">
        <is>
          <t>弘塑</t>
        </is>
      </c>
      <c r="D313" s="42" t="n">
        <v>3131</v>
      </c>
      <c r="E313" s="44" t="inlineStr">
        <is>
          <t>澳系券商</t>
        </is>
      </c>
      <c r="F313" s="44" t="inlineStr">
        <is>
          <t>降評至Neutral</t>
        </is>
      </c>
      <c r="G313" s="44" t="inlineStr">
        <is>
          <t>⭐⭐</t>
        </is>
      </c>
      <c r="H313" s="44" t="inlineStr">
        <is>
          <t>#降評Neutral #訂單遞延 #CoWoS_70-90-110</t>
        </is>
      </c>
    </row>
    <row r="314">
      <c r="A314" s="42" t="n">
        <v>313</v>
      </c>
      <c r="B314" s="43" t="inlineStr">
        <is>
          <t>2025/05/16</t>
        </is>
      </c>
      <c r="C314" s="44" t="inlineStr">
        <is>
          <t>辛耘</t>
        </is>
      </c>
      <c r="D314" s="42" t="n">
        <v>3583</v>
      </c>
      <c r="E314" s="44" t="inlineStr">
        <is>
          <t>澳系券商</t>
        </is>
      </c>
      <c r="F314" s="44" t="inlineStr">
        <is>
          <t>降評至Underperform</t>
        </is>
      </c>
      <c r="G314" s="44" t="inlineStr">
        <is>
          <t>⭐</t>
        </is>
      </c>
      <c r="H314" s="44" t="inlineStr">
        <is>
          <t>#降評Underperform #訂單遞延</t>
        </is>
      </c>
    </row>
    <row r="315">
      <c r="A315" s="42" t="n">
        <v>314</v>
      </c>
      <c r="B315" s="43" t="inlineStr">
        <is>
          <t>2025/05/20</t>
        </is>
      </c>
      <c r="C315" s="44" t="inlineStr">
        <is>
          <t>信驊</t>
        </is>
      </c>
      <c r="D315" s="42" t="n">
        <v>5274</v>
      </c>
      <c r="E315" s="44" t="inlineStr">
        <is>
          <t>美系大行</t>
        </is>
      </c>
      <c r="F315" s="44" t="inlineStr">
        <is>
          <t>上修2Q</t>
        </is>
      </c>
      <c r="G315" s="44" t="inlineStr">
        <is>
          <t>⭐⭐⭐⭐⭐</t>
        </is>
      </c>
      <c r="H315" s="44" t="inlineStr">
        <is>
          <t>#上修2Q #AST2700 #BMC用量</t>
        </is>
      </c>
    </row>
    <row r="316">
      <c r="A316" s="42" t="n">
        <v>315</v>
      </c>
      <c r="B316" s="43" t="inlineStr">
        <is>
          <t>2025/05/20</t>
        </is>
      </c>
      <c r="C316" s="44" t="inlineStr">
        <is>
          <t>奇鋐</t>
        </is>
      </c>
      <c r="D316" s="42" t="n">
        <v>3017</v>
      </c>
      <c r="E316" s="44" t="inlineStr">
        <is>
          <t>美系大行</t>
        </is>
      </c>
      <c r="F316" s="44" t="inlineStr">
        <is>
          <t>重申正向</t>
        </is>
      </c>
      <c r="G316" s="44" t="inlineStr">
        <is>
          <t>⭐⭐⭐⭐⭐</t>
        </is>
      </c>
      <c r="H316" s="44" t="inlineStr">
        <is>
          <t>#水冷3Q量產 #市佔5成 #新品開發</t>
        </is>
      </c>
    </row>
    <row r="317">
      <c r="A317" s="42" t="n">
        <v>316</v>
      </c>
      <c r="B317" s="43" t="inlineStr">
        <is>
          <t>2025/05/21</t>
        </is>
      </c>
      <c r="C317" s="44" t="inlineStr">
        <is>
          <t>台光電</t>
        </is>
      </c>
      <c r="D317" s="42" t="n">
        <v>2383</v>
      </c>
      <c r="E317" s="44" t="inlineStr">
        <is>
          <t>美系券商</t>
        </is>
      </c>
      <c r="F317" s="44" t="inlineStr">
        <is>
          <t>重申正向</t>
        </is>
      </c>
      <c r="G317" s="44" t="inlineStr">
        <is>
          <t>⭐⭐⭐⭐⭐</t>
        </is>
      </c>
      <c r="H317" s="44" t="inlineStr">
        <is>
          <t>#M8市佔75% #ASP增30-35% #M9首批</t>
        </is>
      </c>
    </row>
    <row r="318">
      <c r="A318" s="42" t="n">
        <v>317</v>
      </c>
      <c r="B318" s="43" t="inlineStr">
        <is>
          <t>2025/05/21</t>
        </is>
      </c>
      <c r="C318" s="44" t="inlineStr">
        <is>
          <t>金像電</t>
        </is>
      </c>
      <c r="D318" s="42" t="n">
        <v>2368</v>
      </c>
      <c r="E318" s="44" t="inlineStr">
        <is>
          <t>美系券商</t>
        </is>
      </c>
      <c r="F318" s="44" t="inlineStr">
        <is>
          <t>重申正面</t>
        </is>
      </c>
      <c r="G318" s="44" t="inlineStr">
        <is>
          <t>⭐⭐⭐⭐⭐</t>
        </is>
      </c>
      <c r="H318" s="44" t="inlineStr">
        <is>
          <t>#泰國廠3Q #毛利率向上 #800G</t>
        </is>
      </c>
    </row>
    <row r="319">
      <c r="A319" s="42" t="n">
        <v>318</v>
      </c>
      <c r="B319" s="43" t="inlineStr">
        <is>
          <t>2025/05/21</t>
        </is>
      </c>
      <c r="C319" s="44" t="inlineStr">
        <is>
          <t>嘉澤</t>
        </is>
      </c>
      <c r="D319" s="42" t="n">
        <v>3533</v>
      </c>
      <c r="E319" s="44" t="inlineStr">
        <is>
          <t>美系大行</t>
        </is>
      </c>
      <c r="F319" s="44" t="inlineStr">
        <is>
          <t>重申正向</t>
        </is>
      </c>
      <c r="G319" s="44" t="inlineStr">
        <is>
          <t>⭐⭐⭐⭐</t>
        </is>
      </c>
      <c r="H319" s="44" t="inlineStr">
        <is>
          <t>#營收增20% #越南廠15% #NVQD</t>
        </is>
      </c>
    </row>
    <row r="320">
      <c r="A320" s="42" t="n">
        <v>319</v>
      </c>
      <c r="B320" s="43" t="inlineStr">
        <is>
          <t>2025/05/22</t>
        </is>
      </c>
      <c r="C320" s="44" t="inlineStr">
        <is>
          <t>弘塑</t>
        </is>
      </c>
      <c r="D320" s="42" t="n">
        <v>3131</v>
      </c>
      <c r="E320" s="44" t="inlineStr">
        <is>
          <t>亞系券商</t>
        </is>
      </c>
      <c r="F320" s="44" t="inlineStr">
        <is>
          <t>CoWoS觀察</t>
        </is>
      </c>
      <c r="G320" s="44" t="inlineStr">
        <is>
          <t>⭐⭐⭐⭐⭐</t>
        </is>
      </c>
      <c r="H320" s="44" t="inlineStr">
        <is>
          <t>#CoWoS_75-115k #WLMCM #CoPoS遞延</t>
        </is>
      </c>
    </row>
    <row r="321">
      <c r="A321" s="42" t="n">
        <v>320</v>
      </c>
      <c r="B321" s="43" t="inlineStr">
        <is>
          <t>2025/05/22</t>
        </is>
      </c>
      <c r="C321" s="44" t="inlineStr">
        <is>
          <t>台光電</t>
        </is>
      </c>
      <c r="D321" s="42" t="n">
        <v>2383</v>
      </c>
      <c r="E321" s="44" t="inlineStr">
        <is>
          <t>美系券商</t>
        </is>
      </c>
      <c r="F321" s="44" t="inlineStr">
        <is>
          <t>重申正面</t>
        </is>
      </c>
      <c r="G321" s="44" t="inlineStr">
        <is>
          <t>⭐⭐⭐⭐⭐</t>
        </is>
      </c>
      <c r="H321" s="44" t="inlineStr">
        <is>
          <t>#下半年4:6 #AWS_ASIC #3Q4Q走揚</t>
        </is>
      </c>
    </row>
    <row r="322">
      <c r="A322" s="42" t="n">
        <v>321</v>
      </c>
      <c r="B322" s="43" t="inlineStr">
        <is>
          <t>2025/05/22</t>
        </is>
      </c>
      <c r="C322" s="44" t="inlineStr">
        <is>
          <t>儒鴻</t>
        </is>
      </c>
      <c r="D322" s="42" t="n">
        <v>1476</v>
      </c>
      <c r="E322" s="44" t="inlineStr">
        <is>
          <t>美系券商</t>
        </is>
      </c>
      <c r="F322" s="44" t="inlineStr">
        <is>
          <t>修目標</t>
        </is>
      </c>
      <c r="G322" s="44" t="inlineStr">
        <is>
          <t>⭐⭐</t>
        </is>
      </c>
      <c r="H322" s="44" t="inlineStr">
        <is>
          <t>#關稅匯率 #成本分攤 #3Q擔憂</t>
        </is>
      </c>
    </row>
    <row r="323">
      <c r="A323" s="42" t="n">
        <v>322</v>
      </c>
      <c r="B323" s="43" t="inlineStr">
        <is>
          <t>2025/05/22</t>
        </is>
      </c>
      <c r="C323" s="44" t="inlineStr">
        <is>
          <t>元太</t>
        </is>
      </c>
      <c r="D323" s="42" t="n">
        <v>8069</v>
      </c>
      <c r="E323" s="44" t="inlineStr">
        <is>
          <t>美系大行</t>
        </is>
      </c>
      <c r="F323" s="44" t="inlineStr">
        <is>
          <t>維持中性</t>
        </is>
      </c>
      <c r="G323" s="44" t="inlineStr">
        <is>
          <t>⭐⭐</t>
        </is>
      </c>
      <c r="H323" s="44" t="inlineStr">
        <is>
          <t>#2Q見頂 #下半年不明 #維持中性</t>
        </is>
      </c>
    </row>
    <row r="324">
      <c r="A324" s="42" t="n">
        <v>323</v>
      </c>
      <c r="B324" s="43" t="inlineStr">
        <is>
          <t>2025/05/23</t>
        </is>
      </c>
      <c r="C324" s="44" t="inlineStr">
        <is>
          <t>聚陽</t>
        </is>
      </c>
      <c r="D324" s="42" t="n">
        <v>1477</v>
      </c>
      <c r="E324" s="44" t="inlineStr">
        <is>
          <t>美系券商</t>
        </is>
      </c>
      <c r="F324" s="44" t="inlineStr">
        <is>
          <t>降評</t>
        </is>
      </c>
      <c r="G324" s="44" t="inlineStr">
        <is>
          <t>⭐⭐</t>
        </is>
      </c>
      <c r="H324" s="44" t="inlineStr">
        <is>
          <t>#降評 #關稅影響 #Target不佳</t>
        </is>
      </c>
    </row>
    <row r="325">
      <c r="A325" s="42" t="n">
        <v>324</v>
      </c>
      <c r="B325" s="43" t="inlineStr">
        <is>
          <t>2025/05/02</t>
        </is>
      </c>
      <c r="C325" s="44" t="inlineStr">
        <is>
          <t>台積電</t>
        </is>
      </c>
      <c r="D325" s="42" t="n">
        <v>2330</v>
      </c>
      <c r="E325" s="44" t="inlineStr">
        <is>
          <t>美系大行</t>
        </is>
      </c>
      <c r="F325" s="44" t="inlineStr">
        <is>
          <t>重回Top Pick</t>
        </is>
      </c>
      <c r="G325" s="44" t="inlineStr">
        <is>
          <t>⭐⭐⭐⭐⭐</t>
        </is>
      </c>
      <c r="H325" s="44" t="inlineStr">
        <is>
          <t>#Top_Pick #CoWoS需求不變 #Intel18A</t>
        </is>
      </c>
    </row>
    <row r="326">
      <c r="A326" s="42" t="n">
        <v>325</v>
      </c>
      <c r="B326" s="43" t="inlineStr">
        <is>
          <t>2025/05/02</t>
        </is>
      </c>
      <c r="C326" s="44" t="inlineStr">
        <is>
          <t>聯發科</t>
        </is>
      </c>
      <c r="D326" s="42" t="n">
        <v>2454</v>
      </c>
      <c r="E326" s="44" t="inlineStr">
        <is>
          <t>美系大行</t>
        </is>
      </c>
      <c r="F326" s="44" t="inlineStr">
        <is>
          <t>2Q展望符合預期</t>
        </is>
      </c>
      <c r="G326" s="44" t="inlineStr">
        <is>
          <t>⭐⭐⭐⭐</t>
        </is>
      </c>
      <c r="H326" s="44" t="inlineStr">
        <is>
          <t>#法說會符合預期 #全年雙位數增長</t>
        </is>
      </c>
    </row>
    <row r="327">
      <c r="A327" s="42" t="n">
        <v>326</v>
      </c>
      <c r="B327" s="43" t="inlineStr">
        <is>
          <t>2025/05/02</t>
        </is>
      </c>
      <c r="C327" s="44" t="inlineStr">
        <is>
          <t>嘉澤</t>
        </is>
      </c>
      <c r="D327" s="42" t="n">
        <v>3533</v>
      </c>
      <c r="E327" s="44" t="inlineStr">
        <is>
          <t>美系大行</t>
        </is>
      </c>
      <c r="F327" s="44" t="inlineStr">
        <is>
          <t>升目標</t>
        </is>
      </c>
      <c r="G327" s="44" t="inlineStr">
        <is>
          <t>⭐⭐⭐⭐</t>
        </is>
      </c>
      <c r="H327" s="44" t="inlineStr">
        <is>
          <t>#毛利率向上 #全年增長</t>
        </is>
      </c>
    </row>
    <row r="328">
      <c r="A328" s="42" t="n">
        <v>327</v>
      </c>
      <c r="B328" s="43" t="inlineStr">
        <is>
          <t>2025/05/02</t>
        </is>
      </c>
      <c r="C328" s="44" t="inlineStr">
        <is>
          <t>日月光</t>
        </is>
      </c>
      <c r="D328" s="42" t="n">
        <v>3711</v>
      </c>
      <c r="E328" s="44" t="inlineStr">
        <is>
          <t>美系大行</t>
        </is>
      </c>
      <c r="F328" s="44" t="inlineStr">
        <is>
          <t>略降目標</t>
        </is>
      </c>
      <c r="G328" s="44" t="inlineStr">
        <is>
          <t>⭐⭐⭐⭐</t>
        </is>
      </c>
      <c r="H328" s="44" t="inlineStr">
        <is>
          <t>#Blackwell測試 #關稅考量</t>
        </is>
      </c>
    </row>
    <row r="329">
      <c r="A329" s="42" t="n">
        <v>328</v>
      </c>
      <c r="B329" s="43" t="inlineStr">
        <is>
          <t>2025/05/02</t>
        </is>
      </c>
      <c r="C329" s="44" t="inlineStr">
        <is>
          <t>研華</t>
        </is>
      </c>
      <c r="D329" s="42" t="n">
        <v>2395</v>
      </c>
      <c r="E329" s="44" t="inlineStr">
        <is>
          <t>美系大行</t>
        </is>
      </c>
      <c r="F329" s="44" t="inlineStr">
        <is>
          <t>略降目標</t>
        </is>
      </c>
      <c r="G329" s="44" t="inlineStr">
        <is>
          <t>⭐⭐⭐⭐</t>
        </is>
      </c>
      <c r="H329" s="44" t="inlineStr">
        <is>
          <t>#營收增2成 #BB_ratio_1.1+ #關稅考量</t>
        </is>
      </c>
    </row>
    <row r="330">
      <c r="A330" s="42" t="n">
        <v>329</v>
      </c>
      <c r="B330" s="43" t="inlineStr">
        <is>
          <t>2025/05/02</t>
        </is>
      </c>
      <c r="C330" s="44" t="inlineStr">
        <is>
          <t>致茂</t>
        </is>
      </c>
      <c r="D330" s="42" t="n">
        <v>2360</v>
      </c>
      <c r="E330" s="44" t="inlineStr">
        <is>
          <t>美系大行</t>
        </is>
      </c>
      <c r="F330" s="44" t="inlineStr">
        <is>
          <t>略降目標</t>
        </is>
      </c>
      <c r="G330" s="44" t="inlineStr">
        <is>
          <t>⭐⭐⭐⭐⭐</t>
        </is>
      </c>
      <c r="H330" s="44" t="inlineStr">
        <is>
          <t>#1Q優於預期 #semi光通增37%</t>
        </is>
      </c>
    </row>
    <row r="331">
      <c r="A331" s="42" t="n">
        <v>330</v>
      </c>
      <c r="B331" s="43" t="inlineStr">
        <is>
          <t>2025/05/02</t>
        </is>
      </c>
      <c r="C331" s="44" t="inlineStr">
        <is>
          <t>瑞昱</t>
        </is>
      </c>
      <c r="D331" s="42" t="n">
        <v>2379</v>
      </c>
      <c r="E331" s="44" t="inlineStr">
        <is>
          <t>美系大行</t>
        </is>
      </c>
      <c r="F331" s="44" t="inlineStr">
        <is>
          <t>維持UW</t>
        </is>
      </c>
      <c r="G331" s="44" t="inlineStr">
        <is>
          <t>⭐⭐</t>
        </is>
      </c>
      <c r="H331" s="44" t="inlineStr">
        <is>
          <t>#上半年急單 #下半年擔憂 #維持UW</t>
        </is>
      </c>
    </row>
    <row r="332">
      <c r="A332" s="42" t="n">
        <v>331</v>
      </c>
      <c r="B332" s="43" t="inlineStr">
        <is>
          <t>2025/05/02</t>
        </is>
      </c>
      <c r="C332" s="44" t="inlineStr">
        <is>
          <t>台達電</t>
        </is>
      </c>
      <c r="D332" s="42" t="n">
        <v>2308</v>
      </c>
      <c r="E332" s="44" t="inlineStr">
        <is>
          <t>美系券商</t>
        </is>
      </c>
      <c r="F332" s="44" t="inlineStr">
        <is>
          <t>下修獲利</t>
        </is>
      </c>
      <c r="G332" s="44" t="inlineStr">
        <is>
          <t>⭐⭐⭐</t>
        </is>
      </c>
      <c r="H332" s="44" t="inlineStr">
        <is>
          <t>#關稅衝擊 #下修獲利</t>
        </is>
      </c>
    </row>
    <row r="333">
      <c r="A333" s="42" t="n">
        <v>332</v>
      </c>
      <c r="B333" s="43" t="inlineStr">
        <is>
          <t>2025/05/05</t>
        </is>
      </c>
      <c r="C333" s="44" t="inlineStr">
        <is>
          <t>緯穎</t>
        </is>
      </c>
      <c r="D333" s="42" t="n">
        <v>6669</v>
      </c>
      <c r="E333" s="44" t="inlineStr">
        <is>
          <t>美系券商</t>
        </is>
      </c>
      <c r="F333" s="44" t="inlineStr">
        <is>
          <t>重申正面</t>
        </is>
      </c>
      <c r="G333" s="44" t="inlineStr">
        <is>
          <t>⭐⭐⭐⭐⭐</t>
        </is>
      </c>
      <c r="H333" s="44" t="inlineStr">
        <is>
          <t>#德州土地 #ASIC成長 #CAPEX不變</t>
        </is>
      </c>
    </row>
    <row r="334">
      <c r="A334" s="42" t="n">
        <v>333</v>
      </c>
      <c r="B334" s="43" t="inlineStr">
        <is>
          <t>2025/05/05</t>
        </is>
      </c>
      <c r="C334" s="44" t="inlineStr">
        <is>
          <t>昇達科</t>
        </is>
      </c>
      <c r="D334" s="42" t="n">
        <v>3491</v>
      </c>
      <c r="E334" s="44" t="inlineStr">
        <is>
          <t>美系券商</t>
        </is>
      </c>
      <c r="F334" s="44" t="inlineStr">
        <is>
          <t>升目標</t>
        </is>
      </c>
      <c r="G334" s="44" t="inlineStr">
        <is>
          <t>⭐⭐⭐⭐⭐</t>
        </is>
      </c>
      <c r="H334" s="44" t="inlineStr">
        <is>
          <t>#Kuiper發射 #低軌衛星元年</t>
        </is>
      </c>
    </row>
    <row r="335">
      <c r="A335" s="42" t="n">
        <v>334</v>
      </c>
      <c r="B335" s="43" t="inlineStr">
        <is>
          <t>2025/05/05</t>
        </is>
      </c>
      <c r="C335" s="44" t="inlineStr">
        <is>
          <t>新日興</t>
        </is>
      </c>
      <c r="D335" s="42" t="n">
        <v>3376</v>
      </c>
      <c r="E335" s="44" t="inlineStr">
        <is>
          <t>美系券商</t>
        </is>
      </c>
      <c r="F335" s="44" t="inlineStr">
        <is>
          <t>降目標</t>
        </is>
      </c>
      <c r="G335" s="44" t="inlineStr">
        <is>
          <t>⭐⭐⭐</t>
        </is>
      </c>
      <c r="H335" s="44" t="inlineStr">
        <is>
          <t>#1Q不如預期 #摺疊機看好</t>
        </is>
      </c>
    </row>
    <row r="336">
      <c r="A336" s="42" t="n">
        <v>335</v>
      </c>
      <c r="B336" s="43" t="inlineStr">
        <is>
          <t>2025/05/06</t>
        </is>
      </c>
      <c r="C336" s="44" t="inlineStr">
        <is>
          <t>緯創</t>
        </is>
      </c>
      <c r="D336" s="42" t="n">
        <v>3231</v>
      </c>
      <c r="E336" s="44" t="inlineStr">
        <is>
          <t>澳系券商</t>
        </is>
      </c>
      <c r="F336" s="44" t="inlineStr">
        <is>
          <t>升目標</t>
        </is>
      </c>
      <c r="G336" s="44" t="inlineStr">
        <is>
          <t>⭐⭐⭐⭐⭐</t>
        </is>
      </c>
      <c r="H336" s="44" t="inlineStr">
        <is>
          <t>#GB200_3K #2Q季增17% #年增69%</t>
        </is>
      </c>
    </row>
    <row r="337">
      <c r="A337" s="42" t="n">
        <v>336</v>
      </c>
      <c r="B337" s="43" t="inlineStr">
        <is>
          <t>2025/05/06</t>
        </is>
      </c>
      <c r="C337" s="44" t="inlineStr">
        <is>
          <t>貿聯</t>
        </is>
      </c>
      <c r="D337" s="42" t="n">
        <v>3665</v>
      </c>
      <c r="E337" s="44" t="inlineStr">
        <is>
          <t>美系大行</t>
        </is>
      </c>
      <c r="F337" s="44" t="inlineStr">
        <is>
          <t>4月營收新高</t>
        </is>
      </c>
      <c r="G337" s="44" t="inlineStr">
        <is>
          <t>⭐⭐⭐⭐⭐</t>
        </is>
      </c>
      <c r="H337" s="44" t="inlineStr">
        <is>
          <t>#4月新高 #QTD_39% #AEC</t>
        </is>
      </c>
    </row>
    <row r="338">
      <c r="A338" s="42" t="n">
        <v>337</v>
      </c>
      <c r="B338" s="43" t="inlineStr">
        <is>
          <t>2025/05/06</t>
        </is>
      </c>
      <c r="C338" s="44" t="inlineStr">
        <is>
          <t>信驊</t>
        </is>
      </c>
      <c r="D338" s="42" t="n">
        <v>5274</v>
      </c>
      <c r="E338" s="44" t="inlineStr">
        <is>
          <t>美系大行</t>
        </is>
      </c>
      <c r="F338" s="44" t="inlineStr">
        <is>
          <t>維持EW</t>
        </is>
      </c>
      <c r="G338" s="44" t="inlineStr">
        <is>
          <t>⭐⭐⭐⭐</t>
        </is>
      </c>
      <c r="H338" s="44" t="inlineStr">
        <is>
          <t>#1Q優於預期 #4月年增7成 #PE_40x</t>
        </is>
      </c>
    </row>
    <row r="339">
      <c r="A339" s="42" t="n">
        <v>338</v>
      </c>
      <c r="B339" s="43" t="inlineStr">
        <is>
          <t>2025/05/07</t>
        </is>
      </c>
      <c r="C339" s="44" t="inlineStr">
        <is>
          <t>緯創</t>
        </is>
      </c>
      <c r="D339" s="42" t="n">
        <v>3231</v>
      </c>
      <c r="E339" s="44" t="inlineStr">
        <is>
          <t>歐系大行</t>
        </is>
      </c>
      <c r="F339" s="44" t="inlineStr">
        <is>
          <t>上修獲利</t>
        </is>
      </c>
      <c r="G339" s="44" t="inlineStr">
        <is>
          <t>⭐⭐⭐⭐⭐</t>
        </is>
      </c>
      <c r="H339" s="44" t="inlineStr">
        <is>
          <t>#全年增53% #北美佈局 #配息率60%</t>
        </is>
      </c>
    </row>
    <row r="340">
      <c r="A340" s="42" t="n">
        <v>339</v>
      </c>
      <c r="B340" s="43" t="inlineStr">
        <is>
          <t>2025/05/07</t>
        </is>
      </c>
      <c r="C340" s="44" t="inlineStr">
        <is>
          <t>台光電</t>
        </is>
      </c>
      <c r="D340" s="42" t="n">
        <v>2383</v>
      </c>
      <c r="E340" s="44" t="inlineStr">
        <is>
          <t>美系券商</t>
        </is>
      </c>
      <c r="F340" s="44" t="inlineStr">
        <is>
          <t>重申正面</t>
        </is>
      </c>
      <c r="G340" s="44" t="inlineStr">
        <is>
          <t>⭐⭐⭐⭐⭐</t>
        </is>
      </c>
      <c r="H340" s="44" t="inlineStr">
        <is>
          <t>#產能增20% #switch市佔50% #5-6月月增</t>
        </is>
      </c>
    </row>
    <row r="341">
      <c r="A341" s="42" t="n">
        <v>340</v>
      </c>
      <c r="B341" s="43" t="inlineStr">
        <is>
          <t>2025/05/07</t>
        </is>
      </c>
      <c r="C341" s="44" t="inlineStr">
        <is>
          <t>智邦</t>
        </is>
      </c>
      <c r="D341" s="42" t="n">
        <v>2345</v>
      </c>
      <c r="E341" s="44" t="inlineStr">
        <is>
          <t>美系大行</t>
        </is>
      </c>
      <c r="F341" s="44" t="inlineStr">
        <is>
          <t>4月營收再新高</t>
        </is>
      </c>
      <c r="G341" s="44" t="inlineStr">
        <is>
          <t>⭐⭐⭐⭐⭐</t>
        </is>
      </c>
      <c r="H341" s="44" t="inlineStr">
        <is>
          <t>#4月新高 #QTD_40% #800G</t>
        </is>
      </c>
    </row>
    <row r="342">
      <c r="A342" s="42" t="n">
        <v>341</v>
      </c>
      <c r="B342" s="43" t="inlineStr">
        <is>
          <t>2025/05/07</t>
        </is>
      </c>
      <c r="C342" s="44" t="inlineStr">
        <is>
          <t>金像電</t>
        </is>
      </c>
      <c r="D342" s="42" t="n">
        <v>2368</v>
      </c>
      <c r="E342" s="44" t="inlineStr">
        <is>
          <t>美系大行</t>
        </is>
      </c>
      <c r="F342" s="44" t="inlineStr">
        <is>
          <t>重申正向</t>
        </is>
      </c>
      <c r="G342" s="44" t="inlineStr">
        <is>
          <t>⭐⭐⭐⭐</t>
        </is>
      </c>
      <c r="H342" s="44" t="inlineStr">
        <is>
          <t>#良率進度 #1Q毛利率29.5%</t>
        </is>
      </c>
    </row>
    <row r="343">
      <c r="A343" s="42" t="n">
        <v>342</v>
      </c>
      <c r="B343" s="43" t="inlineStr">
        <is>
          <t>2025/05/07</t>
        </is>
      </c>
      <c r="C343" s="44" t="inlineStr">
        <is>
          <t>義隆電</t>
        </is>
      </c>
      <c r="D343" s="42" t="n">
        <v>2458</v>
      </c>
      <c r="E343" s="44" t="inlineStr">
        <is>
          <t>美系大行</t>
        </is>
      </c>
      <c r="F343" s="44" t="inlineStr">
        <is>
          <t>維持EW</t>
        </is>
      </c>
      <c r="G343" s="44" t="inlineStr">
        <is>
          <t>⭐⭐</t>
        </is>
      </c>
      <c r="H343" s="44" t="inlineStr">
        <is>
          <t>#低於季節性 #維持EW</t>
        </is>
      </c>
    </row>
    <row r="344">
      <c r="A344" s="42" t="n">
        <v>343</v>
      </c>
      <c r="B344" s="43" t="inlineStr">
        <is>
          <t>2025/05/07</t>
        </is>
      </c>
      <c r="C344" s="44" t="inlineStr">
        <is>
          <t>世界</t>
        </is>
      </c>
      <c r="D344" s="42" t="n">
        <v>5347</v>
      </c>
      <c r="E344" s="44" t="inlineStr">
        <is>
          <t>美系大行</t>
        </is>
      </c>
      <c r="F344" s="44" t="inlineStr">
        <is>
          <t>評價觀察</t>
        </is>
      </c>
      <c r="G344" s="44" t="inlineStr">
        <is>
          <t>⭐⭐</t>
        </is>
      </c>
      <c r="H344" s="44" t="inlineStr">
        <is>
          <t>#wafer_price壓 #評價偏高</t>
        </is>
      </c>
    </row>
    <row r="345">
      <c r="A345" s="42" t="n">
        <v>344</v>
      </c>
      <c r="B345" s="43" t="inlineStr">
        <is>
          <t>2025/05/08</t>
        </is>
      </c>
      <c r="C345" s="44" t="inlineStr">
        <is>
          <t>川湖</t>
        </is>
      </c>
      <c r="D345" s="42" t="n">
        <v>2059</v>
      </c>
      <c r="E345" s="44" t="inlineStr">
        <is>
          <t>美系大行</t>
        </is>
      </c>
      <c r="F345" s="44" t="inlineStr">
        <is>
          <t>重申正向</t>
        </is>
      </c>
      <c r="G345" s="44" t="inlineStr">
        <is>
          <t>⭐⭐⭐⭐⭐</t>
        </is>
      </c>
      <c r="H345" s="44" t="inlineStr">
        <is>
          <t>#毛利率76.1% #QTD_35% #龍頭地位</t>
        </is>
      </c>
    </row>
    <row r="346">
      <c r="A346" s="42" t="n">
        <v>345</v>
      </c>
      <c r="B346" s="43" t="inlineStr">
        <is>
          <t>2025/05/08</t>
        </is>
      </c>
      <c r="C346" s="44" t="inlineStr">
        <is>
          <t>鴻海</t>
        </is>
      </c>
      <c r="D346" s="42" t="n">
        <v>2317</v>
      </c>
      <c r="E346" s="44" t="inlineStr">
        <is>
          <t>美系大行</t>
        </is>
      </c>
      <c r="F346" s="44" t="inlineStr">
        <is>
          <t>EV合作正面</t>
        </is>
      </c>
      <c r="G346" s="44" t="inlineStr">
        <is>
          <t>⭐⭐⭐⭐</t>
        </is>
      </c>
      <c r="H346" s="44" t="inlineStr">
        <is>
          <t>#三菱EV #備忘錄</t>
        </is>
      </c>
    </row>
    <row r="347">
      <c r="A347" s="42" t="n">
        <v>346</v>
      </c>
      <c r="B347" s="43" t="inlineStr">
        <is>
          <t>2025/05/08</t>
        </is>
      </c>
      <c r="C347" s="44" t="inlineStr">
        <is>
          <t>聯詠</t>
        </is>
      </c>
      <c r="D347" s="42" t="n">
        <v>3034</v>
      </c>
      <c r="E347" s="44" t="inlineStr">
        <is>
          <t>美系大行</t>
        </is>
      </c>
      <c r="F347" s="44" t="inlineStr">
        <is>
          <t>修獲利</t>
        </is>
      </c>
      <c r="G347" s="44" t="inlineStr">
        <is>
          <t>⭐⭐⭐</t>
        </is>
      </c>
      <c r="H347" s="44" t="inlineStr">
        <is>
          <t>#拉貨暫歇 #2Q季增0.1% #下修獲利</t>
        </is>
      </c>
    </row>
    <row r="348">
      <c r="A348" s="42" t="n">
        <v>347</v>
      </c>
      <c r="B348" s="43" t="inlineStr">
        <is>
          <t>2025/05/08</t>
        </is>
      </c>
      <c r="C348" s="44" t="inlineStr">
        <is>
          <t>群光</t>
        </is>
      </c>
      <c r="D348" s="42" t="n">
        <v>2385</v>
      </c>
      <c r="E348" s="44" t="inlineStr">
        <is>
          <t>美系券商</t>
        </is>
      </c>
      <c r="F348" s="44" t="inlineStr">
        <is>
          <t>下修獲利</t>
        </is>
      </c>
      <c r="G348" s="44" t="inlineStr">
        <is>
          <t>⭐⭐</t>
        </is>
      </c>
      <c r="H348" s="44" t="inlineStr">
        <is>
          <t>#1Q不如預期 #gaming_keyboard慢</t>
        </is>
      </c>
    </row>
    <row r="349">
      <c r="A349" s="42" t="n">
        <v>348</v>
      </c>
      <c r="B349" s="43" t="inlineStr">
        <is>
          <t>2025/05/08</t>
        </is>
      </c>
      <c r="C349" s="44" t="inlineStr">
        <is>
          <t>南電</t>
        </is>
      </c>
      <c r="D349" s="42" t="n">
        <v>8046</v>
      </c>
      <c r="E349" s="44" t="inlineStr">
        <is>
          <t>美系券商</t>
        </is>
      </c>
      <c r="F349" s="44" t="inlineStr">
        <is>
          <t>維持中性</t>
        </is>
      </c>
      <c r="G349" s="44" t="inlineStr">
        <is>
          <t>⭐⭐⭐</t>
        </is>
      </c>
      <c r="H349" s="44" t="inlineStr">
        <is>
          <t>#800G #2Q季增10% #維持中性</t>
        </is>
      </c>
    </row>
    <row r="350">
      <c r="A350" s="42" t="n">
        <v>349</v>
      </c>
      <c r="B350" s="43" t="inlineStr">
        <is>
          <t>2025/05/08</t>
        </is>
      </c>
      <c r="C350" s="44" t="inlineStr">
        <is>
          <t>元太</t>
        </is>
      </c>
      <c r="D350" s="42" t="n">
        <v>8069</v>
      </c>
      <c r="E350" s="44" t="inlineStr">
        <is>
          <t>美系大行</t>
        </is>
      </c>
      <c r="F350" s="44" t="inlineStr">
        <is>
          <t>降評至EW</t>
        </is>
      </c>
      <c r="G350" s="44" t="inlineStr">
        <is>
          <t>⭐⭐</t>
        </is>
      </c>
      <c r="H350" s="44" t="inlineStr">
        <is>
          <t>#消費性有限 #降評EW</t>
        </is>
      </c>
    </row>
    <row r="351">
      <c r="A351" s="42" t="n">
        <v>350</v>
      </c>
      <c r="B351" s="43" t="inlineStr">
        <is>
          <t>2025/05/09</t>
        </is>
      </c>
      <c r="C351" s="44" t="inlineStr">
        <is>
          <t>智邦</t>
        </is>
      </c>
      <c r="D351" s="42" t="n">
        <v>2345</v>
      </c>
      <c r="E351" s="44" t="inlineStr">
        <is>
          <t>美系券商A</t>
        </is>
      </c>
      <c r="F351" s="44" t="inlineStr">
        <is>
          <t>上修目標</t>
        </is>
      </c>
      <c r="G351" s="44" t="inlineStr">
        <is>
          <t>⭐⭐⭐⭐⭐</t>
        </is>
      </c>
      <c r="H351" s="44" t="inlineStr">
        <is>
          <t>#2Q年增105% #全年增68% #800G</t>
        </is>
      </c>
    </row>
    <row r="352">
      <c r="A352" s="42" t="n">
        <v>351</v>
      </c>
      <c r="B352" s="43" t="inlineStr">
        <is>
          <t>2025/05/09</t>
        </is>
      </c>
      <c r="C352" s="44" t="inlineStr">
        <is>
          <t>智邦</t>
        </is>
      </c>
      <c r="D352" s="42" t="n">
        <v>2345</v>
      </c>
      <c r="E352" s="44" t="inlineStr">
        <is>
          <t>美系券商B</t>
        </is>
      </c>
      <c r="F352" s="44" t="inlineStr">
        <is>
          <t>上修目標</t>
        </is>
      </c>
      <c r="G352" s="44" t="inlineStr">
        <is>
          <t>⭐⭐⭐⭐⭐</t>
        </is>
      </c>
      <c r="H352" s="44" t="inlineStr">
        <is>
          <t>#EPS_41.8 #上修目標</t>
        </is>
      </c>
    </row>
    <row r="353">
      <c r="A353" s="42" t="n">
        <v>352</v>
      </c>
      <c r="B353" s="43" t="inlineStr">
        <is>
          <t>2025/05/09</t>
        </is>
      </c>
      <c r="C353" s="44" t="inlineStr">
        <is>
          <t>金像電</t>
        </is>
      </c>
      <c r="D353" s="42" t="n">
        <v>2368</v>
      </c>
      <c r="E353" s="44" t="inlineStr">
        <is>
          <t>美系大行</t>
        </is>
      </c>
      <c r="F353" s="44" t="inlineStr">
        <is>
          <t>重申正向</t>
        </is>
      </c>
      <c r="G353" s="44" t="inlineStr">
        <is>
          <t>⭐⭐⭐⭐</t>
        </is>
      </c>
      <c r="H353" s="44" t="inlineStr">
        <is>
          <t>#毛利率優於預期 #匯率影響</t>
        </is>
      </c>
    </row>
    <row r="354">
      <c r="A354" s="42" t="n">
        <v>353</v>
      </c>
      <c r="B354" s="43" t="inlineStr">
        <is>
          <t>2025/05/09</t>
        </is>
      </c>
      <c r="C354" s="44" t="inlineStr">
        <is>
          <t>建準</t>
        </is>
      </c>
      <c r="D354" s="42" t="n">
        <v>2421</v>
      </c>
      <c r="E354" s="44" t="inlineStr">
        <is>
          <t>美系大行</t>
        </is>
      </c>
      <c r="F354" s="44" t="inlineStr">
        <is>
          <t>重申正向</t>
        </is>
      </c>
      <c r="G354" s="44" t="inlineStr">
        <is>
          <t>⭐⭐⭐⭐</t>
        </is>
      </c>
      <c r="H354" s="44" t="inlineStr">
        <is>
          <t>#2Q季增10-20% #產能增20%</t>
        </is>
      </c>
    </row>
    <row r="355">
      <c r="A355" s="42" t="n">
        <v>354</v>
      </c>
      <c r="B355" s="43" t="inlineStr">
        <is>
          <t>2025/05/09</t>
        </is>
      </c>
      <c r="C355" s="44" t="inlineStr">
        <is>
          <t>啟碁</t>
        </is>
      </c>
      <c r="D355" s="42" t="n">
        <v>6285</v>
      </c>
      <c r="E355" s="44" t="inlineStr">
        <is>
          <t>美系券商</t>
        </is>
      </c>
      <c r="F355" s="44" t="inlineStr">
        <is>
          <t>重申正向</t>
        </is>
      </c>
      <c r="G355" s="44" t="inlineStr">
        <is>
          <t>⭐⭐⭐⭐</t>
        </is>
      </c>
      <c r="H355" s="44" t="inlineStr">
        <is>
          <t>#2Q季增7% #毛利率12.3%</t>
        </is>
      </c>
    </row>
    <row r="356">
      <c r="A356" s="42" t="n">
        <v>355</v>
      </c>
      <c r="B356" s="43" t="inlineStr">
        <is>
          <t>2025/05/12</t>
        </is>
      </c>
      <c r="C356" s="44" t="inlineStr">
        <is>
          <t>金像電</t>
        </is>
      </c>
      <c r="D356" s="42" t="n">
        <v>2368</v>
      </c>
      <c r="E356" s="44" t="inlineStr">
        <is>
          <t>眾券商</t>
        </is>
      </c>
      <c r="F356" s="44" t="inlineStr">
        <is>
          <t>上修</t>
        </is>
      </c>
      <c r="G356" s="44" t="inlineStr">
        <is>
          <t>⭐⭐⭐⭐⭐</t>
        </is>
      </c>
      <c r="H356" s="44" t="inlineStr">
        <is>
          <t>#毛利率31.3% #2Q季增13% #ASIC_800G</t>
        </is>
      </c>
    </row>
    <row r="357">
      <c r="A357" s="42" t="n">
        <v>356</v>
      </c>
      <c r="B357" s="43" t="inlineStr">
        <is>
          <t>2025/05/12</t>
        </is>
      </c>
      <c r="C357" s="44" t="inlineStr">
        <is>
          <t>台燿</t>
        </is>
      </c>
      <c r="D357" s="42" t="n">
        <v>6274</v>
      </c>
      <c r="E357" s="44" t="inlineStr">
        <is>
          <t>美系券商</t>
        </is>
      </c>
      <c r="F357" s="44" t="inlineStr">
        <is>
          <t>重申正向</t>
        </is>
      </c>
      <c r="G357" s="44" t="inlineStr">
        <is>
          <t>⭐⭐⭐⭐⭐</t>
        </is>
      </c>
      <c r="H357" s="44" t="inlineStr">
        <is>
          <t>#產能滿載 #M9明年下半年 #泰國廠</t>
        </is>
      </c>
    </row>
    <row r="358">
      <c r="A358" s="42" t="n">
        <v>357</v>
      </c>
      <c r="B358" s="43" t="inlineStr">
        <is>
          <t>2025/05/12</t>
        </is>
      </c>
      <c r="C358" s="44" t="inlineStr">
        <is>
          <t>雙鴻</t>
        </is>
      </c>
      <c r="D358" s="42" t="n">
        <v>3324</v>
      </c>
      <c r="E358" s="44" t="inlineStr">
        <is>
          <t>美系大行</t>
        </is>
      </c>
      <c r="F358" s="44" t="inlineStr">
        <is>
          <t>重申正向</t>
        </is>
      </c>
      <c r="G358" s="44" t="inlineStr">
        <is>
          <t>⭐⭐⭐⭐⭐</t>
        </is>
      </c>
      <c r="H358" s="44" t="inlineStr">
        <is>
          <t>#2Q季增28% #水冷25%</t>
        </is>
      </c>
    </row>
    <row r="359">
      <c r="A359" s="42" t="n">
        <v>358</v>
      </c>
      <c r="B359" s="43" t="inlineStr">
        <is>
          <t>2025/05/12</t>
        </is>
      </c>
      <c r="C359" s="44" t="inlineStr">
        <is>
          <t>台達電</t>
        </is>
      </c>
      <c r="D359" s="42" t="n">
        <v>2308</v>
      </c>
      <c r="E359" s="44" t="inlineStr">
        <is>
          <t>美系大行</t>
        </is>
      </c>
      <c r="F359" s="44" t="inlineStr">
        <is>
          <t>重申正面</t>
        </is>
      </c>
      <c r="G359" s="44" t="inlineStr">
        <is>
          <t>⭐⭐⭐</t>
        </is>
      </c>
      <c r="H359" s="44" t="inlineStr">
        <is>
          <t>#6月主要貢獻 #CDU_3Q中</t>
        </is>
      </c>
    </row>
    <row r="360">
      <c r="A360" s="42" t="n">
        <v>359</v>
      </c>
      <c r="B360" s="43" t="inlineStr">
        <is>
          <t>2025/05/12</t>
        </is>
      </c>
      <c r="C360" s="44" t="inlineStr">
        <is>
          <t>M31</t>
        </is>
      </c>
      <c r="D360" s="42" t="n">
        <v>6643</v>
      </c>
      <c r="E360" s="44" t="inlineStr">
        <is>
          <t>美系券商</t>
        </is>
      </c>
      <c r="F360" s="44" t="inlineStr">
        <is>
          <t>下修</t>
        </is>
      </c>
      <c r="G360" s="44" t="inlineStr">
        <is>
          <t>⭐⭐</t>
        </is>
      </c>
      <c r="H360" s="44" t="inlineStr">
        <is>
          <t>#OPEX高 #維持EW #下修獲利</t>
        </is>
      </c>
    </row>
  </sheetData>
  <autoFilter ref="A1:H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5" customWidth="1" min="3" max="3"/>
    <col width="10" customWidth="1" min="4" max="4"/>
    <col width="15" customWidth="1" min="5" max="5"/>
    <col width="80" customWidth="1" min="6" max="6"/>
    <col width="35" customWidth="1" min="7" max="7"/>
  </cols>
  <sheetData>
    <row r="1" ht="30" customHeight="1">
      <c r="A1" s="1" t="inlineStr">
        <is>
          <t>編號</t>
        </is>
      </c>
      <c r="B1" s="1" t="inlineStr">
        <is>
          <t>日期</t>
        </is>
      </c>
      <c r="C1" s="1" t="inlineStr">
        <is>
          <t>公司</t>
        </is>
      </c>
      <c r="D1" s="1" t="inlineStr">
        <is>
          <t>股號</t>
        </is>
      </c>
      <c r="E1" s="1" t="inlineStr">
        <is>
          <t>券商來源</t>
        </is>
      </c>
      <c r="F1" s="1" t="inlineStr">
        <is>
          <t>完整報導內容</t>
        </is>
      </c>
      <c r="G1" s="1" t="inlineStr">
        <is>
          <t>標籤</t>
        </is>
      </c>
    </row>
    <row r="2" ht="100" customHeight="1">
      <c r="A2" s="2" t="inlineStr">
        <is>
          <t>001</t>
        </is>
      </c>
      <c r="B2" s="2" t="inlineStr">
        <is>
          <t>2025/11/10</t>
        </is>
      </c>
      <c r="C2" s="2" t="inlineStr">
        <is>
          <t>群聯</t>
        </is>
      </c>
      <c r="D2" s="45" t="n">
        <v>8299</v>
      </c>
      <c r="E2" s="2" t="inlineStr">
        <is>
          <t>美系大行</t>
        </is>
      </c>
      <c r="F2" s="47" t="inlineStr">
        <is>
          <t>• 美系大行指出明年NAND已全數售罄，各應用市場客戶都在向群聯尋求供貨保障，由於群聯有穩定供應紀錄，券商對未來幾季的庫存水準充滿信心。
• 企業級SSD業務明年預估占營收比重達20%，高於3Q25的8%。
• 券商重申正向評等不變。</t>
        </is>
      </c>
      <c r="G2" s="3" t="inlineStr">
        <is>
          <t>#NAND #SSD #企業級</t>
        </is>
      </c>
    </row>
    <row r="3" ht="100" customHeight="1">
      <c r="A3" s="2" t="inlineStr">
        <is>
          <t>002</t>
        </is>
      </c>
      <c r="B3" s="2" t="inlineStr">
        <is>
          <t>2025/11/10</t>
        </is>
      </c>
      <c r="C3" s="2" t="inlineStr">
        <is>
          <t>GB200趨勢</t>
        </is>
      </c>
      <c r="D3" s="2" t="inlineStr">
        <is>
          <t>-</t>
        </is>
      </c>
      <c r="E3" s="2" t="inlineStr">
        <is>
          <t>美系大行</t>
        </is>
      </c>
      <c r="F3" s="47" t="inlineStr">
        <is>
          <t>• 美系大行預估4Q總機櫃出貨量可望顯著成長至14,000–15,000台，高於第3季的8,000–8,500台。
• GB300生產已啟動，將順利放量，未聞任何良率問題。</t>
        </is>
      </c>
      <c r="G3" s="3" t="inlineStr">
        <is>
          <t>#GB200 #NVL72 #GB300</t>
        </is>
      </c>
    </row>
    <row r="4" ht="100" customHeight="1">
      <c r="A4" s="2" t="inlineStr">
        <is>
          <t>003</t>
        </is>
      </c>
      <c r="B4" s="2" t="inlineStr">
        <is>
          <t>2025/11/10</t>
        </is>
      </c>
      <c r="C4" s="2" t="inlineStr">
        <is>
          <t>緯穎</t>
        </is>
      </c>
      <c r="D4" s="45" t="n">
        <v>6669</v>
      </c>
      <c r="E4" s="2" t="inlineStr">
        <is>
          <t>澳系券商</t>
        </is>
      </c>
      <c r="F4" s="47" t="inlineStr">
        <is>
          <t>• 澳系券商上修25-27年EPS至$274/$346/$441，以後年18xPE評價，同步升目標，也是目前市場最高。
• 券商表示發行 20 億美元可轉換債（約稀釋 6%），可能意味 2026 年需求展望強勁，與 2024 年下半年發行 ECB/GDR 類似，隨後於今年營收強勁成長。
• 大方向上AWS ASIC 與 Nvidia/AMD 新客戶將持續推動明年強勁成長，細節上若水冷伺服器比例上升，ASP也會有上行空間。</t>
        </is>
      </c>
      <c r="G4" s="3" t="inlineStr">
        <is>
          <t>#AI伺服器 #ECB #AWS</t>
        </is>
      </c>
    </row>
    <row r="5" ht="100" customHeight="1">
      <c r="A5" s="2" t="inlineStr">
        <is>
          <t>004</t>
        </is>
      </c>
      <c r="B5" s="2" t="inlineStr">
        <is>
          <t>2025/11/10</t>
        </is>
      </c>
      <c r="C5" s="2" t="inlineStr">
        <is>
          <t>緯穎</t>
        </is>
      </c>
      <c r="D5" s="45" t="n">
        <v>6669</v>
      </c>
      <c r="E5" s="2" t="inlineStr">
        <is>
          <t>亞系</t>
        </is>
      </c>
      <c r="F5" s="47" t="inlineStr">
        <is>
          <t>另家亞系觀察AWS ASIC（UBB 層級）市佔上升，新增於現有的 L10（trays）與 L11（機櫃）業務之上。</t>
        </is>
      </c>
      <c r="G5" s="3" t="inlineStr">
        <is>
          <t>#ASIC #L10 #L11</t>
        </is>
      </c>
    </row>
    <row r="6" ht="100" customHeight="1">
      <c r="A6" s="2" t="inlineStr">
        <is>
          <t>005</t>
        </is>
      </c>
      <c r="B6" s="2" t="inlineStr">
        <is>
          <t>2025/11/10</t>
        </is>
      </c>
      <c r="C6" s="2" t="inlineStr">
        <is>
          <t>京元電</t>
        </is>
      </c>
      <c r="D6" s="45" t="n">
        <v>2449</v>
      </c>
      <c r="E6" s="2" t="inlineStr">
        <is>
          <t>美系券商</t>
        </is>
      </c>
      <c r="F6" s="47" t="inlineStr">
        <is>
          <t>• 3Q 第三季財報亮眼，毛利率達 36%, 淨利季增6%等優於美系券商預期。
• 券商預估4Q營收季增約 6–8%，且毛利率可望再進一步提升。
• 受惠於 AI 需求強勁與測試時數延長，京元電預期整體 GPU 營收明年將年增超過 60%。
• 除了GPU, 將受惠於強勁的 AI ASIC 市場，特別是 Google 的 TPU 與基於 ARM 架構的 CPU。
• 計畫到 2027 年將 AI ASIC 測試機台增加至 350 台，遠高於目前 AI GPU 測試機台約 90 台。
• 美系券商上修25-27年EPS至$9/$10/$14，並給予市場最高的目標。</t>
        </is>
      </c>
      <c r="G6" s="3" t="inlineStr">
        <is>
          <t>#GPU #ASIC #測試</t>
        </is>
      </c>
    </row>
    <row r="7" ht="100" customHeight="1">
      <c r="A7" s="2" t="inlineStr">
        <is>
          <t>006</t>
        </is>
      </c>
      <c r="B7" s="2" t="inlineStr">
        <is>
          <t>2025/11/10</t>
        </is>
      </c>
      <c r="C7" s="2" t="inlineStr">
        <is>
          <t>勤誠</t>
        </is>
      </c>
      <c r="D7" s="45" t="n">
        <v>8210</v>
      </c>
      <c r="E7" s="2" t="inlineStr">
        <is>
          <t>美系券商</t>
        </is>
      </c>
      <c r="F7" s="47" t="inlineStr">
        <is>
          <t>• 3Q毛利優於預期；機殼與機櫃市佔提升推動成長，展望4Q，預期GPU與ASIC伺服器的需求依然穩健（～3Q的AI相關業務占營收比重超過50%）。
• 客製化的部位明年有望站上雙位數。
• 美國新產線將年底開始小量出貨；馬來西亞新廠進度正常，預計明年中量產。
• 另一座位於德州的大型產能計畫將於年底定案，預計2027年開始放量。
• 券商上修今明年至$27.9/$39.7，以明年30xPE評價，同步升目標。</t>
        </is>
      </c>
      <c r="G7" s="3" t="inlineStr">
        <is>
          <t>#機殼機櫃 #AI伺服器</t>
        </is>
      </c>
    </row>
    <row r="8" ht="100" customHeight="1">
      <c r="A8" s="2" t="inlineStr">
        <is>
          <t>007</t>
        </is>
      </c>
      <c r="B8" s="2" t="inlineStr">
        <is>
          <t>2025/11/10</t>
        </is>
      </c>
      <c r="C8" s="2" t="inlineStr">
        <is>
          <t>貿聯</t>
        </is>
      </c>
      <c r="D8" s="45" t="n">
        <v>3665</v>
      </c>
      <c r="E8" s="2" t="inlineStr">
        <is>
          <t>美系券商</t>
        </is>
      </c>
      <c r="F8" s="47" t="inlineStr">
        <is>
          <t>• 從機櫃內連接擴展至機櫃間連接（rack-to-rack），AEC 需求強勁。
• 即使 CPO 逐步量產，AEC 需求仍將保持強勁。
• 由於電力產品毛利率高於數據產品，該類業務比重上升將持續推升整體毛利率。
• 美系券商上修25-26年EPS至$46.9/$62，同步升標。</t>
        </is>
      </c>
      <c r="G8" s="3" t="inlineStr">
        <is>
          <t>#AEC #機櫃連接</t>
        </is>
      </c>
    </row>
    <row r="9" ht="100" customHeight="1">
      <c r="A9" s="2" t="inlineStr">
        <is>
          <t>008</t>
        </is>
      </c>
      <c r="B9" s="2" t="inlineStr">
        <is>
          <t>2025/11/10</t>
        </is>
      </c>
      <c r="C9" s="2" t="inlineStr">
        <is>
          <t>奇鋐</t>
        </is>
      </c>
      <c r="D9" s="45" t="n">
        <v>3017</v>
      </c>
      <c r="E9" s="2" t="inlineStr">
        <is>
          <t>美系大行</t>
        </is>
      </c>
      <c r="F9" s="47" t="inlineStr">
        <is>
          <t>• 美系大行表示10 月營收創歷史新高，超預期 8%；第四季可能上修。
• 待11/12 法說會說明，重申正向評等不變。</t>
        </is>
      </c>
      <c r="G9" s="3" t="inlineStr">
        <is>
          <t>#散熱 #法說會1112</t>
        </is>
      </c>
    </row>
    <row r="10" ht="100" customHeight="1">
      <c r="A10" s="2" t="inlineStr">
        <is>
          <t>009</t>
        </is>
      </c>
      <c r="B10" s="2" t="inlineStr">
        <is>
          <t>2025/11/07</t>
        </is>
      </c>
      <c r="C10" s="2" t="inlineStr">
        <is>
          <t>創意</t>
        </is>
      </c>
      <c r="D10" s="45" t="n">
        <v>3443</v>
      </c>
      <c r="E10" s="2" t="inlineStr">
        <is>
          <t>美系大行</t>
        </is>
      </c>
      <c r="F10" s="47" t="inlineStr">
        <is>
          <t>• 美系大行調升26-27年EPS至$40.7/$56.3，以明年44xPE評價，同步升目標。
• 券商預期明年至少有30%的營收貢獻來自Google,，根據Google TPU v6 的伺服器配置，推算 CoWoS 模組的 3 奈米 TPU 將對應約 75 萬顆 CPU 的需求，單價約 800 美元，因此上修 Google CPU 專案的貢獻。
• 其他如：加密貨幣動能至少延續至1H26；正與 Rivos 合作一項 3 奈米專案，並將採用 CoWoS 封裝、xAI 專案Turnkey 2（TK2），2H26貢獻營收；FuriosaAI 5 奈米 AI 加速器已完成流片；Meta集中於 NRE收入等。</t>
        </is>
      </c>
      <c r="G10" s="3" t="inlineStr">
        <is>
          <t>#CoWoS #Google #TPU</t>
        </is>
      </c>
    </row>
    <row r="11" ht="100" customHeight="1">
      <c r="A11" s="2" t="inlineStr">
        <is>
          <t>010</t>
        </is>
      </c>
      <c r="B11" s="2" t="inlineStr">
        <is>
          <t>2025/11/07</t>
        </is>
      </c>
      <c r="C11" s="2" t="inlineStr">
        <is>
          <t>建準</t>
        </is>
      </c>
      <c r="D11" s="45" t="n">
        <v>2421</v>
      </c>
      <c r="E11" s="2" t="inlineStr">
        <is>
          <t>美系大行</t>
        </is>
      </c>
      <c r="F11" s="47" t="inlineStr">
        <is>
          <t>3Q毛利率創下歷史新高，美系大行對明年毛利率持續走高觀察正向，12月底前完成cold plate 風扇的客戶測試，並於2026年第一季開始量產，另外明年也會展開CDU量產。</t>
        </is>
      </c>
      <c r="G11" s="3" t="inlineStr">
        <is>
          <t>#散熱 #風扇 #CDU</t>
        </is>
      </c>
    </row>
    <row r="12" ht="100" customHeight="1">
      <c r="A12" s="2" t="inlineStr">
        <is>
          <t>011</t>
        </is>
      </c>
      <c r="B12" s="2" t="inlineStr">
        <is>
          <t>2025/11/07</t>
        </is>
      </c>
      <c r="C12" s="2" t="inlineStr">
        <is>
          <t>南電</t>
        </is>
      </c>
      <c r="D12" s="45" t="n">
        <v>8046</v>
      </c>
      <c r="E12" s="2" t="inlineStr">
        <is>
          <t>美系券商</t>
        </is>
      </c>
      <c r="F12" s="47" t="inlineStr">
        <is>
          <t>• 美系券商預期4Q ABF漲幅季增低至中個位數百分比（相較第三季為低個位數百分比），且於2026年第一季將加速上升。
• 明年有新供應商加入T-glass，但仍追不上需求。
• 此外，目前已有一個ASIC案，明年會再新增一個，另還有一個CSP CPU專案在明下半年量產。
• 最後觀察到E-glass交期正在拉長，顯示不僅高階ABF載板，連中低階產品線的價格環境也可能轉趨有利。
• 綜上，重申正向評等不變。</t>
        </is>
      </c>
      <c r="G12" s="3" t="inlineStr">
        <is>
          <t>#ABF #BT #ASIC</t>
        </is>
      </c>
    </row>
    <row r="13" ht="100" customHeight="1">
      <c r="A13" s="2" t="inlineStr">
        <is>
          <t>012</t>
        </is>
      </c>
      <c r="B13" s="2" t="inlineStr">
        <is>
          <t>2025/11/07</t>
        </is>
      </c>
      <c r="C13" s="2" t="inlineStr">
        <is>
          <t>致茂</t>
        </is>
      </c>
      <c r="D13" s="45" t="n">
        <v>2360</v>
      </c>
      <c r="E13" s="2" t="inlineStr">
        <is>
          <t>美系大行</t>
        </is>
      </c>
      <c r="F13" s="47" t="inlineStr">
        <is>
          <t>• 本季QTD營收達成美系大行預估數36%，優於預期。
• 券商持續正向看待致茂在電源與半導體測試領域的領先地位。</t>
        </is>
      </c>
      <c r="G13" s="3" t="inlineStr">
        <is>
          <t>#測試設備</t>
        </is>
      </c>
    </row>
    <row r="14" ht="100" customHeight="1">
      <c r="A14" s="2" t="inlineStr">
        <is>
          <t>013</t>
        </is>
      </c>
      <c r="B14" s="2" t="inlineStr">
        <is>
          <t>2025/11/05</t>
        </is>
      </c>
      <c r="C14" s="2" t="inlineStr">
        <is>
          <t>奇鋐</t>
        </is>
      </c>
      <c r="D14" s="45" t="n">
        <v>3017</v>
      </c>
      <c r="E14" s="2" t="inlineStr">
        <is>
          <t>澳系券商</t>
        </is>
      </c>
      <c r="F14" s="47" t="inlineStr">
        <is>
          <t>• 澳系券商觀察三大成長引擎：1）明年GPU+ASIC 明年貢獻水冷營收翻倍 2）機殼明年產能增4成，rack產能年增6倍 3）iPhone 今年開始導入VC, 明年新增iPad。
• 券商上調25-27年EPS至$48/$72.5/$90，給予27年的20xPE評價，同步升目標。</t>
        </is>
      </c>
      <c r="G14" s="3" t="inlineStr">
        <is>
          <t>#水冷 #機殼 #VC</t>
        </is>
      </c>
    </row>
    <row r="15" ht="100" customHeight="1">
      <c r="A15" s="2" t="inlineStr">
        <is>
          <t>014</t>
        </is>
      </c>
      <c r="B15" s="2" t="inlineStr">
        <is>
          <t>2025/11/05</t>
        </is>
      </c>
      <c r="C15" s="2" t="inlineStr">
        <is>
          <t>富世達</t>
        </is>
      </c>
      <c r="D15" s="45" t="n">
        <v>6805</v>
      </c>
      <c r="E15" s="2" t="inlineStr">
        <is>
          <t>美系券商、亞系券商</t>
        </is>
      </c>
      <c r="F15" s="47" t="inlineStr">
        <is>
          <t>• 美系券商認為3Q毛利率27.7%優於預期，QD伴隨水冷滲透率提升而加速成長，Nvidia VR 運算托盤採用 CPX 規格也會帶來新增 QD 需求。
• 美系預期4Q營收季增15%、年增48%（～手機軸承+GB300貢獻）。
• 預估今明年EPS$31.4/$57.5,給予後年22xPE評價，同步升目標。</t>
        </is>
      </c>
      <c r="G15" s="3" t="inlineStr">
        <is>
          <t>#QD #水冷 #GB300</t>
        </is>
      </c>
    </row>
    <row r="16" ht="100" customHeight="1">
      <c r="A16" s="2" t="inlineStr">
        <is>
          <t>015</t>
        </is>
      </c>
      <c r="B16" s="2" t="inlineStr">
        <is>
          <t>2025/11/05</t>
        </is>
      </c>
      <c r="C16" s="2" t="inlineStr">
        <is>
          <t>勤誠</t>
        </is>
      </c>
      <c r="D16" s="45" t="n">
        <v>8210</v>
      </c>
      <c r="E16" s="2" t="inlineStr">
        <is>
          <t>美系大行</t>
        </is>
      </c>
      <c r="F16" s="47" t="inlineStr">
        <is>
          <t>• 美系大行評論明年對勤誠而言又是一個好年。
• 觀察在伺服器機殼與客製化機櫃市場持續取得市佔提升，降噪機櫃會再新增一個客戶。
• 預期客製化機櫃明年佔營收比達10-15%，AMD Helios 是潛在外卡。
• 券商上修25-27年EPS至$27.9/$32.3/$43.6，以明年30xPE評價，同步升目標。</t>
        </is>
      </c>
      <c r="G16" s="3" t="inlineStr">
        <is>
          <t>#機殼 #機櫃 #AMD</t>
        </is>
      </c>
    </row>
    <row r="17" ht="100" customHeight="1">
      <c r="A17" s="2" t="inlineStr">
        <is>
          <t>016</t>
        </is>
      </c>
      <c r="B17" s="2" t="inlineStr">
        <is>
          <t>2025/11/05</t>
        </is>
      </c>
      <c r="C17" s="2" t="inlineStr">
        <is>
          <t>環球晶</t>
        </is>
      </c>
      <c r="D17" s="45" t="n">
        <v>6488</v>
      </c>
      <c r="E17" s="2" t="inlineStr">
        <is>
          <t>美系券商</t>
        </is>
      </c>
      <c r="F17" s="47" t="inlineStr">
        <is>
          <t>• 3Q miss美系券商預期，係因海外廠加速客戶認證與試產產生的額外成本，還有德州子公司會計準則變更影響，以及夏季電費。
• 展望4Q，不再新增折舊，毛利率會改善。
• 記憶體佔營收比3-4成，預期明年價格趨勢改善。
• 整體晶圓產業目前仍有 5–10% 供過於求，不過預期27年會有新的需求上升循環，來自記憶體與AI需求。
• 12 吋 SiC 產線將於 2026 年上半年逐步放量。
• 預估25-27年EPS$14.6/$27.3/$30.5,給予明年18xPE評價。</t>
        </is>
      </c>
      <c r="G17" s="3" t="inlineStr">
        <is>
          <t>#晶圓 #SiC #記憶體</t>
        </is>
      </c>
    </row>
    <row r="18" ht="100" customHeight="1">
      <c r="A18" s="2" t="inlineStr">
        <is>
          <t>017</t>
        </is>
      </c>
      <c r="B18" s="2" t="inlineStr">
        <is>
          <t>2025/11/05</t>
        </is>
      </c>
      <c r="C18" s="2" t="inlineStr">
        <is>
          <t>愛普</t>
        </is>
      </c>
      <c r="D18" s="45" t="n">
        <v>6531</v>
      </c>
      <c r="E18" s="2" t="inlineStr">
        <is>
          <t>美系大行</t>
        </is>
      </c>
      <c r="F18" s="47" t="inlineStr">
        <is>
          <t>• 3Q轉盈繳出亮眼成績單。
• 美系大行預期4Q營收還會高過3Q, 由S-SiCap（Stacked Silicon Capacitor） 成長驅動，且interposer出貨持續強勁，加上DDR3 價格環境改善。
• 展望明年AI 與 HPC 應用有帶來高能見度。
• 維持正向評等。</t>
        </is>
      </c>
      <c r="G18" s="3" t="inlineStr">
        <is>
          <t>#S-SiCap #interposer #DDR3</t>
        </is>
      </c>
    </row>
    <row r="19" ht="100" customHeight="1">
      <c r="A19" s="2" t="inlineStr">
        <is>
          <t>018</t>
        </is>
      </c>
      <c r="B19" s="2" t="inlineStr">
        <is>
          <t>2025/11/05</t>
        </is>
      </c>
      <c r="C19" s="2" t="inlineStr">
        <is>
          <t>世界</t>
        </is>
      </c>
      <c r="D19" s="45" t="n">
        <v>5347</v>
      </c>
      <c r="E19" s="2" t="inlineStr">
        <is>
          <t>美系大行</t>
        </is>
      </c>
      <c r="F19" s="47" t="inlineStr">
        <is>
          <t>• 美系大行認為預期下半年折舊費用逐季上升；明年折舊將達 90–100 億（～相較今年86 億），並預期後年再度顯著上升。
• 券商擔憂後年起折舊壓力明顯放大，若要轉為正向評等，需看到12 吋廠更明確的長約（LTA）進展。
• 維持中性評價不變。</t>
        </is>
      </c>
      <c r="G19" s="3" t="inlineStr">
        <is>
          <t>#晶圓代工 #折舊</t>
        </is>
      </c>
    </row>
    <row r="20" ht="100" customHeight="1">
      <c r="A20" s="2" t="inlineStr">
        <is>
          <t>019</t>
        </is>
      </c>
      <c r="B20" s="2" t="inlineStr">
        <is>
          <t>2025/11/05</t>
        </is>
      </c>
      <c r="C20" s="2" t="inlineStr">
        <is>
          <t>聯詠</t>
        </is>
      </c>
      <c r="D20" s="45" t="n">
        <v>3034</v>
      </c>
      <c r="E20" s="2" t="inlineStr">
        <is>
          <t>亞系券商</t>
        </is>
      </c>
      <c r="F20" s="3" t="inlineStr">
        <is>
          <t>亞系券商考量電視需求疲弱與價格停滯，預期明年缺乏明顯成長催化劑。且認為股息吸引力下降，故降評至中性。</t>
        </is>
      </c>
      <c r="G20" s="3" t="inlineStr">
        <is>
          <t>#IC設計 #電視</t>
        </is>
      </c>
    </row>
    <row r="21" ht="100" customHeight="1">
      <c r="A21" s="2" t="inlineStr">
        <is>
          <t>020</t>
        </is>
      </c>
      <c r="B21" s="2" t="inlineStr"/>
      <c r="C21" s="2" t="inlineStr">
        <is>
          <t>SK海力士
三星電子</t>
        </is>
      </c>
      <c r="D21" s="2" t="inlineStr"/>
      <c r="E21" s="2" t="inlineStr">
        <is>
          <t>瑞銀</t>
        </is>
      </c>
      <c r="F21" s="47" t="inlineStr">
        <is>
          <t>• 外電引述瑞銀最新報告顯示，存儲晶片產業已步入「嚴重短缺」期，2025年第四季DDR合約價談判明顯轉強，單季環比漲幅預估達21%或更高，供應商重新掌握定價權，價格上行週期有望延續至2026年底、甚至推進至2027年第一季。
• 瑞銀據此上調兩大韓系龍頭評等與預期：將SK海力士12個月目標價自64萬韓元調升至71萬韓元，維持「買進」並稱其為內存領域「首選」；三星電子目標價自11.
• 8萬韓元上調至12.8萬韓元，同步上調2026-2027年營收與獲利假設。
• 報告寫到，價格驅動的核心在於結構性供需失衡：AI帶動的高帶寬記憶體(HBM)需求爆發、傳統伺服器更新週期持續、企業級SSD受AI與HDD短缺帶動額外需求，再加上前段晶圓產能優先傾斜至高毛利HBM，擠壓傳統DDR供給，使DRAM議價權明顯回到供應端。</t>
        </is>
      </c>
      <c r="G21" s="3" t="inlineStr">
        <is>
          <t>#DRAM #DDR #HBM #記憶體</t>
        </is>
      </c>
    </row>
    <row r="22" ht="120" customHeight="1">
      <c r="A22" s="2" t="inlineStr">
        <is>
          <t>021</t>
        </is>
      </c>
      <c r="B22" s="2" t="inlineStr">
        <is>
          <t>2025/10/28</t>
        </is>
      </c>
      <c r="C22" s="2" t="inlineStr">
        <is>
          <t>貿聯</t>
        </is>
      </c>
      <c r="D22" s="45" t="n">
        <v>3665</v>
      </c>
      <c r="E22" s="2" t="inlineStr">
        <is>
          <t>美系大行</t>
        </is>
      </c>
      <c r="F22" s="47" t="inlineStr">
        <is>
          <t>• 美系大行上修25-27年EPS至$43.8/$57.8/$69.
• 8，給予明年30xPE評價，同步升目標。
• 券商指出AEC 過去只有一家ASIC在使用，從今年下半年開始已陸續導入多家CSP的GPU伺服器，主要用在scale-out 架構上，未來scale-up 上也有龐大潛力市場。
• 再來，另個產品領域：電源互連（Power Interconnect），近月也得到許多關注，應用在GB200/300 與 VR 機櫃等，預估今明年貢獻營收比達5%/10%。</t>
        </is>
      </c>
      <c r="G22" s="3" t="inlineStr">
        <is>
          <t>#AEC #電源互連 #GPU</t>
        </is>
      </c>
    </row>
    <row r="23" ht="120" customHeight="1">
      <c r="A23" s="2" t="inlineStr">
        <is>
          <t>022</t>
        </is>
      </c>
      <c r="B23" s="2" t="inlineStr">
        <is>
          <t>2025/10/28</t>
        </is>
      </c>
      <c r="C23" s="2" t="inlineStr">
        <is>
          <t>奇鋐</t>
        </is>
      </c>
      <c r="D23" s="45" t="n">
        <v>3017</v>
      </c>
      <c r="E23" s="2" t="inlineStr">
        <is>
          <t>亞系券商</t>
        </is>
      </c>
      <c r="F23" s="47" t="inlineStr">
        <is>
          <t>• 亞系券商調升25-27年EPS至$46.7/$63.4/$77.
• 2，以29xPE評價，同步升目標。
• 券商指出3Q毛利率有望達到歷史高的26.7%，短期（4Q25-1Q26)仍舊受益於強勁的ASIC &amp; GPU訂單能見度。
• 中長期：觀察明下半年水冷案更多，持續保持領先地位，預期明年越南產能至少還要擴充出5成。
• 綜上，調升25-27年財務模型預估。</t>
        </is>
      </c>
      <c r="G23" s="3" t="inlineStr">
        <is>
          <t>#水冷 #ASIC #GPU</t>
        </is>
      </c>
    </row>
    <row r="24" ht="120" customHeight="1">
      <c r="A24" s="2" t="inlineStr">
        <is>
          <t>023</t>
        </is>
      </c>
      <c r="B24" s="2" t="inlineStr">
        <is>
          <t>2025/10/28</t>
        </is>
      </c>
      <c r="C24" s="2" t="inlineStr">
        <is>
          <t>景碩</t>
        </is>
      </c>
      <c r="D24" s="45" t="n">
        <v>3189</v>
      </c>
      <c r="E24" s="2" t="inlineStr">
        <is>
          <t>美系券商</t>
        </is>
      </c>
      <c r="F24" s="47" t="inlineStr">
        <is>
          <t>• 3Q result 不如美系券商預期，券商認為來自成本上升，而BT/ABF漲價效應要在1-2個月後才會顯現，因此，認為4Q毛利率能上升6 個百分點至 25%，帶動獲利季增100%。
• 至於現增案，券商認為主要因應擴廠需求，若全數執行恐稀釋15%，不過券商表示這只是預先公告，實際籌資金額與投資規模仍在討論中。</t>
        </is>
      </c>
      <c r="G24" s="3" t="inlineStr">
        <is>
          <t>#BT #ABF #現增</t>
        </is>
      </c>
    </row>
    <row r="25" ht="120" customHeight="1">
      <c r="A25" s="2" t="inlineStr">
        <is>
          <t>024</t>
        </is>
      </c>
      <c r="B25" s="2" t="inlineStr">
        <is>
          <t>2025/10/29</t>
        </is>
      </c>
      <c r="C25" s="2" t="inlineStr">
        <is>
          <t>國巨</t>
        </is>
      </c>
      <c r="D25" s="45" t="n">
        <v>2327</v>
      </c>
      <c r="E25" s="2" t="inlineStr">
        <is>
          <t>美系大行</t>
        </is>
      </c>
      <c r="F25" s="47" t="inlineStr">
        <is>
          <t>• 美系大行將國巨的評等調升為正向，同時調高25-27年EPS至$11.
• 3/$14.1/$16.4，給予明年20.5xPE評價，同步升目標。
• 券商早在2022年就指出國巨轉型為全球電子零件整合供應商。
• 展望4Q，預期優於季節性表現；受惠於電子產業需求增強、鉭電容價格上漲，以及芝浦電子（Shibaura）併購整合。
• 預估4Q營收季增4%，毛利率預期季增 0.5 個百分點至 36.
• 3%，主因鉭電容售價上升及併購芝浦電子效益。
• 預估4Q EPS $3.21。
• 總體產能利用率預期與3Q持平，明年進一步上升。</t>
        </is>
      </c>
      <c r="G25" s="3" t="inlineStr">
        <is>
          <t>#被動元件 #鉭電容</t>
        </is>
      </c>
    </row>
    <row r="26" ht="120" customHeight="1">
      <c r="A26" s="2" t="inlineStr">
        <is>
          <t>025</t>
        </is>
      </c>
      <c r="B26" s="2" t="inlineStr">
        <is>
          <t>2025/10/29</t>
        </is>
      </c>
      <c r="C26" s="2" t="inlineStr">
        <is>
          <t>京元電
日月光</t>
        </is>
      </c>
      <c r="D26" s="2" t="inlineStr">
        <is>
          <t>2449
3711</t>
        </is>
      </c>
      <c r="E26" s="2" t="inlineStr">
        <is>
          <t>美系大行</t>
        </is>
      </c>
      <c r="F26" s="47" t="inlineStr">
        <is>
          <t>• 美系大行指出半導體通膨（價格上漲）已經開始了；台積電漲價、記憶體供應商的報價能力提升、預期矽晶圓片也會上漲，認為漲勢也會延續到封測。
• 預估先進封裝價格將上漲 5–10%，這是自 COVID-19 晶片短缺以來首次漲價潮。
• 在眾廠之中，券商偏好京元電，因其獲利能力如EBITDA 利潤率顯著優於同業，且在探針與 ASIC 測試市場持續擴大市佔。
• *上修京元電25-27年EPS至$8.8/$9.5/$13.
• 6，給予明年14xPE評價，公布升目標。
• 反映AI GPU 測試需求強勁、ASIC 測試滲透率上升、及 AI 收入佔比提升，目前產能吃緊。
• *上修日月光25-27年至$8.6/$14/$20.1，給予明年16xPE評價。
• 同樣面臨產能吃緊，預期逐步將部分傳統打線封裝產線轉為flip-chip封裝以支援更多 AI 相關需求。
• 產品組合優化且ASP提升，因此上修獲利預估。</t>
        </is>
      </c>
      <c r="G26" s="3" t="inlineStr">
        <is>
          <t>#封測 #漲價 #AI</t>
        </is>
      </c>
    </row>
    <row r="27" ht="120" customHeight="1">
      <c r="A27" s="2" t="inlineStr">
        <is>
          <t>026</t>
        </is>
      </c>
      <c r="B27" s="2" t="inlineStr">
        <is>
          <t>2025/10/29</t>
        </is>
      </c>
      <c r="C27" s="2" t="inlineStr">
        <is>
          <t>聯發科</t>
        </is>
      </c>
      <c r="D27" s="45" t="n">
        <v>2454</v>
      </c>
      <c r="E27" s="2" t="inlineStr">
        <is>
          <t>美系大行</t>
        </is>
      </c>
      <c r="F27" s="47" t="inlineStr">
        <is>
          <t>• 美系大行承上觀察：因成本都在上升，但認為難以轉嫁成本。
• 且DRAM+NAND 成本約為 110 美元，與高階天璣 9400 晶片售價（110–120 美元）相近。
• 券商預估4Q營收季增0-5%，但毛利率降至47%，反映中低階 5G SoC 競爭激烈。
• 下修明後年EPS至$69.3/$93.8，同步降目標。</t>
        </is>
      </c>
      <c r="G27" s="3" t="inlineStr">
        <is>
          <t>#天璣 #成本上升</t>
        </is>
      </c>
    </row>
    <row r="28" ht="120" customHeight="1">
      <c r="A28" s="2" t="inlineStr">
        <is>
          <t>027</t>
        </is>
      </c>
      <c r="B28" s="2" t="inlineStr">
        <is>
          <t>2025/10/29</t>
        </is>
      </c>
      <c r="C28" s="2" t="inlineStr">
        <is>
          <t>致茂</t>
        </is>
      </c>
      <c r="D28" s="45" t="n">
        <v>2360</v>
      </c>
      <c r="E28" s="2" t="inlineStr">
        <is>
          <t>美系大行</t>
        </is>
      </c>
      <c r="F28" s="47" t="inlineStr">
        <is>
          <t>• 美系大行上修25-27年EPS至$18.4/$23.4/$27.
• 4，以明年35xPE評價，同步升目標。
• 券商預期電源與半導體測試推動成長。
• 由於每機櫃功率上升，需使用更高密度電源供應器（PSU）及備援電池（BBU），為測試業務帶來額外成長機會。
• 預估預估電源測試營收今明年年增幅 49% /38%。
• 半導體類，下一輪 AI GPU CoWoS 封裝週期將於 2025 年底至 2026 年初啟動，更高密度量測應用（如晶圓級多晶片模組 WLCM）將帶來新需求。
• 預估半導體與光電相關業務今明年營收增幅43% /41%。</t>
        </is>
      </c>
      <c r="G28" s="3" t="inlineStr">
        <is>
          <t>#測試設備 #PSU #BBU</t>
        </is>
      </c>
    </row>
    <row r="29" ht="120" customHeight="1">
      <c r="A29" s="2" t="inlineStr">
        <is>
          <t>028</t>
        </is>
      </c>
      <c r="B29" s="2" t="inlineStr">
        <is>
          <t>2025/10/29</t>
        </is>
      </c>
      <c r="C29" s="2" t="inlineStr">
        <is>
          <t>欣興</t>
        </is>
      </c>
      <c r="D29" s="45" t="n">
        <v>3037</v>
      </c>
      <c r="E29" s="2" t="inlineStr">
        <is>
          <t>美系券商</t>
        </is>
      </c>
      <c r="F29" s="47" t="inlineStr">
        <is>
          <t>• 3Q result不如美系預期，因成本上升，但漲價效應要到4Q才會展現。
• 預期4Q營收季增3%，ABF/BT 售價提升及 ABF 訂單動能改善，不過HDI 與 PCB 因消費性電子產業進入淡季。
• 預期明年年中動能來自新一代 CPO 基板，規格可能達 150mm × 150mm × 28 層，單價約 300–400 美元。</t>
        </is>
      </c>
      <c r="G29" s="3" t="inlineStr">
        <is>
          <t>#ABF #BT #CPO</t>
        </is>
      </c>
    </row>
    <row r="30" ht="120" customHeight="1">
      <c r="A30" s="2" t="inlineStr">
        <is>
          <t>029</t>
        </is>
      </c>
      <c r="B30" s="2" t="inlineStr">
        <is>
          <t>2025/11/06</t>
        </is>
      </c>
      <c r="C30" s="2" t="inlineStr">
        <is>
          <t>華邦電</t>
        </is>
      </c>
      <c r="D30" s="45" t="n">
        <v>2344</v>
      </c>
      <c r="E30" s="2" t="inlineStr">
        <is>
          <t>美系大行</t>
        </is>
      </c>
      <c r="F30" s="47" t="inlineStr">
        <is>
          <t>• 法說會後，美系大行再升目標，重申「首選」。
• 評價：上修至2026年的2.6倍P/B。
• 上修25-27年EPS至$1.14/$4.3/$7.2。
• 券商持續看好華邦電在DDR、NOR與SLC NAND的報價上升，以及未來CUBE擴產。
• 展望4Q，券商強調結構性的供應吃緊支撐營運表現，且4Q就算沒有庫存評價回沖，預期毛利率表現也能維持跟3Q相當。
• 上月宣布的355億元將用於高雄記憶體擴廠，計畫將晶圓產能由每月1.
• 5萬片提升至2.4～2.5萬片，並隨16奈米產能擴充而使bit出貨量翻倍。</t>
        </is>
      </c>
      <c r="G30" s="3" t="inlineStr">
        <is>
          <t>#DDR #NOR #CUBE</t>
        </is>
      </c>
    </row>
    <row r="31" ht="120" customHeight="1">
      <c r="A31" s="2" t="inlineStr">
        <is>
          <t>030</t>
        </is>
      </c>
      <c r="B31" s="2" t="inlineStr">
        <is>
          <t>2025/11/06</t>
        </is>
      </c>
      <c r="C31" s="2" t="inlineStr">
        <is>
          <t>金像電</t>
        </is>
      </c>
      <c r="D31" s="45" t="n">
        <v>2368</v>
      </c>
      <c r="E31" s="2" t="inlineStr">
        <is>
          <t>亞系券商</t>
        </is>
      </c>
      <c r="F31" s="47" t="inlineStr">
        <is>
          <t>• 恭喜入MSCI 台灣指數！
• 亞系券商調升25-27年EPS至$17.7/$26.3/$30.
• 8，給予明年25xPE評價，同步升目標。
• 券商認為4Q將有優於市場之前悲觀預期的表現，預估營收季持平，延續3Q 高層數（64–80 層）800G switch PCB強勁需求。
• 明上半年隨AI PCB需求能見度提升而迎來復甦。
• 另外也上修3Q毛利率至34%（～前預估為31.9%），因因AWS ASIC需求及泰國廠順利擴產。</t>
        </is>
      </c>
      <c r="G31" s="3" t="inlineStr">
        <is>
          <t>#AI PCB #800G #MSCI</t>
        </is>
      </c>
    </row>
    <row r="32" ht="120" customHeight="1">
      <c r="A32" s="2" t="inlineStr">
        <is>
          <t>031</t>
        </is>
      </c>
      <c r="B32" s="2" t="inlineStr">
        <is>
          <t>2025/11/06</t>
        </is>
      </c>
      <c r="C32" s="2" t="inlineStr">
        <is>
          <t>東元</t>
        </is>
      </c>
      <c r="D32" s="45" t="n">
        <v>1504</v>
      </c>
      <c r="E32" s="2" t="inlineStr">
        <is>
          <t>美系券商</t>
        </is>
      </c>
      <c r="F32" s="47" t="inlineStr">
        <is>
          <t>• 恭喜入MSCI 台灣指數！
• 美系券商預估3Q毛利率將提升至24.6%（上半年為23.8%），主要受智慧工程（IE）業務（資料中心與離岸風電專案）的毛利改善帶動。
• 預估4Q營收季增12%、年增22%，馬達業務復甦、智慧工程加速成長，另外變壓器組裝產能明後年也先後在中壢、桃園擴產。
• 券商上修今明年EPS至$2.43/$4.6，同步升目標。</t>
        </is>
      </c>
      <c r="G32" s="3" t="inlineStr">
        <is>
          <t>#馬達 #資料中心 #MSCI</t>
        </is>
      </c>
    </row>
    <row r="33" ht="120" customHeight="1">
      <c r="A33" s="2" t="inlineStr">
        <is>
          <t>032</t>
        </is>
      </c>
      <c r="B33" s="2" t="inlineStr">
        <is>
          <t>2025/11/06</t>
        </is>
      </c>
      <c r="C33" s="2" t="inlineStr">
        <is>
          <t>貿聯</t>
        </is>
      </c>
      <c r="D33" s="45" t="n">
        <v>3665</v>
      </c>
      <c r="E33" s="2" t="inlineStr">
        <is>
          <t>美系大行</t>
        </is>
      </c>
      <c r="F33" s="47" t="inlineStr">
        <is>
          <t>• 恭喜入MSCI 台灣指數！
• 營收QTD達成券商預估數的33%，符合美系大行預估、優於市場預估。
• HPC事業成長強勁，由AEC及電源需求持續帶動。
• 維持正向評等不變。</t>
        </is>
      </c>
      <c r="G33" s="3" t="inlineStr">
        <is>
          <t>#AEC #HPC #MSCI</t>
        </is>
      </c>
    </row>
    <row r="34" ht="120" customHeight="1">
      <c r="A34" s="2" t="inlineStr">
        <is>
          <t>033</t>
        </is>
      </c>
      <c r="B34" s="2" t="inlineStr">
        <is>
          <t>2025/11/06</t>
        </is>
      </c>
      <c r="C34" s="2" t="inlineStr">
        <is>
          <t>鴻海</t>
        </is>
      </c>
      <c r="D34" s="45" t="n">
        <v>2317</v>
      </c>
      <c r="E34" s="2" t="inlineStr">
        <is>
          <t>美系大行</t>
        </is>
      </c>
      <c r="F34" s="47" t="inlineStr">
        <is>
          <t>• 10月營收新高！
• 美系大行先暫維持4Q營收季增19%的預估，待11/12法說會指引。
• 同時券商預估3Q毛利率上升至6.2%，OPM 3.3%。
• 各產品線如伺服器及消費性都同步成長。
• 維持正向評等不變。</t>
        </is>
      </c>
      <c r="G34" s="3" t="inlineStr">
        <is>
          <t>#10月營收新高 #伺服器</t>
        </is>
      </c>
    </row>
    <row r="35" ht="120" customHeight="1">
      <c r="A35" s="2" t="inlineStr">
        <is>
          <t>034</t>
        </is>
      </c>
      <c r="B35" s="2" t="inlineStr">
        <is>
          <t>2025/11/06</t>
        </is>
      </c>
      <c r="C35" s="2" t="inlineStr">
        <is>
          <t>南電</t>
        </is>
      </c>
      <c r="D35" s="45" t="n">
        <v>8046</v>
      </c>
      <c r="E35" s="2" t="inlineStr">
        <is>
          <t>美系券商</t>
        </is>
      </c>
      <c r="F35" s="47" t="inlineStr">
        <is>
          <t>• 美系券商認為3Q毛利率與營益率如預期改善，展望4Q, 預期營收季增4%，主要受惠於ABF與BT載板價格提升（預估ABF/BT單季價格分別上漲3–5%與10–15%）。
• 預期4Q毛利率將再上升2.6個百分點至12.9%（第3季為9.
• 6%）。</t>
        </is>
      </c>
      <c r="G35" s="3" t="inlineStr">
        <is>
          <t>#ABF #BT #漲價</t>
        </is>
      </c>
    </row>
    <row r="36" ht="120" customHeight="1">
      <c r="A36" s="2" t="inlineStr">
        <is>
          <t>035</t>
        </is>
      </c>
      <c r="B36" s="2" t="inlineStr">
        <is>
          <t>2025/11/03</t>
        </is>
      </c>
      <c r="C36" s="2" t="inlineStr">
        <is>
          <t>聯發科</t>
        </is>
      </c>
      <c r="D36" s="45" t="n">
        <v>2454</v>
      </c>
      <c r="E36" s="2" t="inlineStr">
        <is>
          <t>美系券商</t>
        </is>
      </c>
      <c r="F36" s="47" t="inlineStr">
        <is>
          <t>• 法說會後，一家美系降評，下修25-27年EPS為$67.1/$70/$89.
• 9，同步降目標。
• 券商調降明後年毛利率至45.9%/45.3%，OPM降至17.
• 0%/18.6%，反映成本上揚、研發支出增、主要產品毛利率被稀釋及ASIC業務對當前營運槓桿有限。</t>
        </is>
      </c>
      <c r="G36" s="3" t="inlineStr">
        <is>
          <t>#毛利率下降 #ASIC</t>
        </is>
      </c>
    </row>
    <row r="37" ht="120" customHeight="1">
      <c r="A37" s="2" t="inlineStr">
        <is>
          <t>036</t>
        </is>
      </c>
      <c r="B37" s="2" t="inlineStr">
        <is>
          <t>2025/11/03</t>
        </is>
      </c>
      <c r="C37" s="2" t="inlineStr">
        <is>
          <t>散熱產業
奇鋐
富世達
雙鴻
建準</t>
        </is>
      </c>
      <c r="D37" s="2" t="inlineStr">
        <is>
          <t>3017
6805
3324
2421</t>
        </is>
      </c>
      <c r="E37" s="2" t="inlineStr">
        <is>
          <t>美系大行</t>
        </is>
      </c>
      <c r="F37" s="47" t="inlineStr">
        <is>
          <t>• 美系大行表示GB300 伺服器機櫃的散熱元件價值將較 GB200 提升 200%，VR 對GB300伺的散熱元件價值再提升 17%。
• 且Vera Rubin computing trays 可能採標準化設計，對奇鋐、富世達正面解讀，尤其還是採用cold plate，Rubin Ultra 可能採用的MCCP/MCL等進階要到明年下半年才定案。
• ASIC方面：AWS Trainium 3 與 Meta 的 MTIA 專案都將採用水冷設計，Google TPU 明年轉向亞洲供應鏈。
• 綜上，鑑於水冷滲透率明年大幅提高，券商上修覆蓋裡的獲利預估，同步升目標。
• *升目標：3017奇鋐、6805富世達、3324雙鴻、2421建準</t>
        </is>
      </c>
      <c r="G37" s="3" t="inlineStr">
        <is>
          <t>#GB300 #水冷 #散熱</t>
        </is>
      </c>
    </row>
    <row r="38" ht="120" customHeight="1">
      <c r="A38" s="2" t="inlineStr">
        <is>
          <t>037</t>
        </is>
      </c>
      <c r="B38" s="2" t="inlineStr">
        <is>
          <t>2025/11/03</t>
        </is>
      </c>
      <c r="C38" s="2" t="inlineStr">
        <is>
          <t>國巨</t>
        </is>
      </c>
      <c r="D38" s="45" t="n">
        <v>2327</v>
      </c>
      <c r="E38" s="2" t="inlineStr">
        <is>
          <t>美系券商</t>
        </is>
      </c>
      <c r="F38" s="47" t="inlineStr">
        <is>
          <t>• 美系券商上修25-27年EPS至$11.3/$17.6/$22.
• 3，給予15x明年PB/ROE評價，同步升目標。
• 券商對上週法說會內容正向解讀，鉭質電容需求持續強勁，供需吃緊，將擴增墨西哥廠10-15%產能。
• 除了鉭質電容外，券商認為其他被動元件雖暫無漲價空間，但需求復甦正在各產品線發生，中期可望帶動營收展望改善。
• 中國/亞洲經銷商的庫存水位僅約3個月。</t>
        </is>
      </c>
      <c r="G38" s="3" t="inlineStr">
        <is>
          <t>#被動元件 #鉭電容</t>
        </is>
      </c>
    </row>
    <row r="39" ht="120" customHeight="1">
      <c r="A39" s="2" t="inlineStr">
        <is>
          <t>038</t>
        </is>
      </c>
      <c r="B39" s="2" t="inlineStr">
        <is>
          <t>2025/11/03</t>
        </is>
      </c>
      <c r="C39" s="2" t="inlineStr">
        <is>
          <t>嘉澤</t>
        </is>
      </c>
      <c r="D39" s="45" t="n">
        <v>3533</v>
      </c>
      <c r="E39" s="2" t="inlineStr">
        <is>
          <t>美系大行</t>
        </is>
      </c>
      <c r="F39" s="47" t="inlineStr">
        <is>
          <t>• 美系大行下修25-27年EPS至$67.8/$89.1/$101.
• 2，以明年17xPE評價，同步降目標。
• 券商主要認為SOC/AMD與QD插槽需求將於2026年下半年末起放量，主要貢獻落在2027年。
• 另以 QD 而言，GB300 compute tray採混合液冷設計（hybrid-cooled）僅搭載6組QD模組。
• 券商認為嘉澤的QD 營收貢獻需待 Nvidia 下一代 VR200 平台於下半年放量後才會顯著。</t>
        </is>
      </c>
      <c r="G39" s="3" t="inlineStr">
        <is>
          <t>#QD #VR200</t>
        </is>
      </c>
    </row>
    <row r="40" ht="120" customHeight="1">
      <c r="A40" s="2" t="inlineStr">
        <is>
          <t>039</t>
        </is>
      </c>
      <c r="B40" s="2" t="inlineStr">
        <is>
          <t>2025/10/31</t>
        </is>
      </c>
      <c r="C40" s="2" t="inlineStr">
        <is>
          <t>AI供應鏈</t>
        </is>
      </c>
      <c r="D40" s="2" t="inlineStr">
        <is>
          <t>-</t>
        </is>
      </c>
      <c r="E40" s="2" t="inlineStr">
        <is>
          <t>美系大行</t>
        </is>
      </c>
      <c r="F40" s="47" t="inlineStr">
        <is>
          <t>• 美系大行針對CoWoS產能更新如下：
**台積電陣營：
*AMD上修：從 8 萬片增加至 9 萬片，反映即將推出的 MI400 系列需求。
• *Broadcom：無變化。
• 即便 Anthropic 宣布採用 TPU但券商認為 Broadcom 在向台積電下單時已將這「第四家客戶」納入。
• 維持明年2.8mn。
• *聯發科：無變化。
• 維持TPU 約 0.2m 顆。
• *AWS Trainium3 ：無變化。
• 2026 年出貨量預估維持1.2m。
• Anthropic仍以 AWS 為主要雲端服務夥伴與訓練平台，因此不構成衝擊。
• **非台積電陣營：上修
券商認為受惠台積電 CoWoS 產能吃緊外溢的需求，上修預估如下：
*日月光與矽品的 FoCoS／CoWoS 產能至今年底達 8,000 片/月，明年進一步擴充至 2 萬片/月。
• 有包括Broadcom TPU, Tomahawk switch、CEVP 及 AWS Trainium 3/2。
• *Amkor亦預期於年底達 1.5 萬片/月，明年擴增至 2 萬片/月。
• 支援 NVIDIA 的 Vera CPU 及非 GPU 產品，例如 N1X、車用晶片與 GB10。</t>
        </is>
      </c>
      <c r="G40" s="3" t="inlineStr">
        <is>
          <t>#CoWoS #AMD #Broadcom</t>
        </is>
      </c>
    </row>
    <row r="41" ht="120" customHeight="1">
      <c r="A41" s="2" t="inlineStr">
        <is>
          <t>040</t>
        </is>
      </c>
      <c r="B41" s="2" t="inlineStr">
        <is>
          <t>2025/10/31</t>
        </is>
      </c>
      <c r="C41" s="2" t="inlineStr">
        <is>
          <t>京元電</t>
        </is>
      </c>
      <c r="D41" s="45" t="n">
        <v>2449</v>
      </c>
      <c r="E41" s="2" t="inlineStr">
        <is>
          <t>亞系券商</t>
        </is>
      </c>
      <c r="F41" s="47" t="inlineStr">
        <is>
          <t>• 亞系上修25-27年EPS至8.3/$8.3/$10。
• 券商認為除了Nviida還受惠於其他Broadcom、聯發科、Google TPU 等AI ASIC 客戶。
• 預期ASIC 收入佔比可達 25–28%，同步推升毛利率表現。</t>
        </is>
      </c>
      <c r="G41" s="3" t="inlineStr">
        <is>
          <t>#ASIC #TPU</t>
        </is>
      </c>
    </row>
    <row r="42" ht="120" customHeight="1">
      <c r="A42" s="2" t="inlineStr">
        <is>
          <t>041</t>
        </is>
      </c>
      <c r="B42" s="2" t="inlineStr">
        <is>
          <t>2025/10/31</t>
        </is>
      </c>
      <c r="C42" s="2" t="inlineStr">
        <is>
          <t>日月光</t>
        </is>
      </c>
      <c r="D42" s="45" t="n">
        <v>3711</v>
      </c>
      <c r="E42" s="2" t="inlineStr">
        <is>
          <t>美系大行</t>
        </is>
      </c>
      <c r="F42" s="47" t="inlineStr">
        <is>
          <t>• 美系大行表示毛利率向上擴張穩在軌道上。
• 3Q毛利率為 17.1%，高於美系大行與市場共識的預估，預期4Q毛利率季增70-100bps。
• 封裝與測試利用率 維持在高水位，LEAP 與傳統進階封裝線幾乎滿載，明年持續擴大資本支出。</t>
        </is>
      </c>
      <c r="G42" s="3" t="inlineStr">
        <is>
          <t>#封裝 #LEAP</t>
        </is>
      </c>
    </row>
    <row r="43" ht="120" customHeight="1">
      <c r="A43" s="2" t="inlineStr">
        <is>
          <t>042</t>
        </is>
      </c>
      <c r="B43" s="2" t="inlineStr">
        <is>
          <t>2025/10/31</t>
        </is>
      </c>
      <c r="C43" s="2" t="inlineStr">
        <is>
          <t>川湖</t>
        </is>
      </c>
      <c r="D43" s="45" t="n">
        <v>2059</v>
      </c>
      <c r="E43" s="2" t="inlineStr">
        <is>
          <t>美系大行</t>
        </is>
      </c>
      <c r="F43" s="47" t="inlineStr">
        <is>
          <t>• 美系大行再度上修25-27年EPS至$87.8/$130.8/$147.
• 8。
• 券商認為3Q毛利率雖受匯率影響，但預期領導地位仍在。
• 展望4Q, 預期營收季增5%，毛利率74.9%。
• 預期明年營收成長近3成，預期是AMD Helios 機櫃的潛在合作夥伴。</t>
        </is>
      </c>
      <c r="G43" s="3" t="inlineStr">
        <is>
          <t>#機櫃 #AMD Helios</t>
        </is>
      </c>
    </row>
    <row r="44" ht="120" customHeight="1">
      <c r="A44" s="2" t="inlineStr">
        <is>
          <t>043</t>
        </is>
      </c>
      <c r="B44" s="2" t="inlineStr">
        <is>
          <t>2025/10/31</t>
        </is>
      </c>
      <c r="C44" s="2" t="inlineStr">
        <is>
          <t>台達電</t>
        </is>
      </c>
      <c r="D44" s="45" t="n">
        <v>2308</v>
      </c>
      <c r="E44" s="2" t="inlineStr">
        <is>
          <t>美系大行</t>
        </is>
      </c>
      <c r="F44" s="47" t="inlineStr">
        <is>
          <t>• 美系大行上修25-27年至$23.7/$35/$42。
• 券商點出OPM是關鍵，雖研發與行銷費用仍占營收 15–20%，但預期 2024–2027 年營收年複合成長率達 27%，足以推動長期毛利率持續上升。
• Infra的OPM 上升至16.5%，顯示規模經濟效應逐步顯現。
• 維持「首選」。</t>
        </is>
      </c>
      <c r="G44" s="3" t="inlineStr">
        <is>
          <t>#Infra #OPM #首選</t>
        </is>
      </c>
    </row>
    <row r="45" ht="120" customHeight="1">
      <c r="A45" s="2" t="inlineStr">
        <is>
          <t>044</t>
        </is>
      </c>
      <c r="B45" s="2" t="inlineStr">
        <is>
          <t>2025/10/31</t>
        </is>
      </c>
      <c r="C45" s="2" t="inlineStr">
        <is>
          <t>台光電</t>
        </is>
      </c>
      <c r="D45" s="45" t="n">
        <v>2383</v>
      </c>
      <c r="E45" s="2" t="inlineStr">
        <is>
          <t>美系券商</t>
        </is>
      </c>
      <c r="F45" s="47" t="inlineStr">
        <is>
          <t>• 美系雖下修今年至$42.8，但上修明後年至$70.5/$106.
• 2。
• 3Q毛利率、EPS不如券商預估與市場共識。
• 券商認為反映 AWS 案貢獻低於預期（該項目毛利率通常高於公司平均），及馬來西亞與中山新廠的初期量產成本上升。
• 預期4Q營收再增約 2%，新產能貢獻逾 10%。
• Google ASIC 伺服器專案啟動、800G 交換器需求成長，以及低軌衛星（LEO）需求帶動。
• 明年M9 預期於2Q開始貢獻。</t>
        </is>
      </c>
      <c r="G45" s="3" t="inlineStr">
        <is>
          <t>#AWS #800G #Google</t>
        </is>
      </c>
    </row>
    <row r="46" ht="120" customHeight="1">
      <c r="A46" s="2" t="inlineStr">
        <is>
          <t>045</t>
        </is>
      </c>
      <c r="B46" s="2" t="inlineStr">
        <is>
          <t>2025/10/30</t>
        </is>
      </c>
      <c r="C46" s="2" t="inlineStr">
        <is>
          <t>奇鋐</t>
        </is>
      </c>
      <c r="D46" s="45" t="n">
        <v>3017</v>
      </c>
      <c r="E46" s="2" t="inlineStr">
        <is>
          <t>亞系券商</t>
        </is>
      </c>
      <c r="F46" s="47" t="inlineStr">
        <is>
          <t>• 亞系券商調升26-27年EPS至$64.6/$78.7，以29xPE評價，同步升目標。
• 短期（4Q25-1Q26)訂單能見度強勁，券商預估營收逐季走揚，受益於伺服器水冷及高階手機VC動能。
• 目前總營收裡4成與AI有關，其中5成是水冷，預期明年水冷滲透率進一步提升，有望推升毛利率表現，且在越南還要至少再擴5成產能。
• 3C產品所用的VC展望也樂觀，券商預估也需在中國擴充產能。
• 其他方面如機殼，目前已有3家CSP客戶，明年還要新增一個。</t>
        </is>
      </c>
      <c r="G46" s="3" t="inlineStr">
        <is>
          <t>#水冷 #VC #機殼</t>
        </is>
      </c>
    </row>
    <row r="47" ht="120" customHeight="1">
      <c r="A47" s="2" t="inlineStr">
        <is>
          <t>046</t>
        </is>
      </c>
      <c r="B47" s="2" t="inlineStr">
        <is>
          <t>2025/10/30</t>
        </is>
      </c>
      <c r="C47" s="2" t="inlineStr">
        <is>
          <t>雙鴻</t>
        </is>
      </c>
      <c r="D47" s="45" t="n">
        <v>3324</v>
      </c>
      <c r="E47" s="2" t="inlineStr">
        <is>
          <t>美系券商</t>
        </is>
      </c>
      <c r="F47" s="47" t="inlineStr">
        <is>
          <t>• 美系券商預估4Q營收季增2成，其中一半是水冷，有望推升毛利率至29.
• 6%，上修25-27年EPS至$25.3/$46.8/$60.
• 7，以28xPE評價，同步升目標。</t>
        </is>
      </c>
      <c r="G47" s="3" t="inlineStr">
        <is>
          <t>#水冷</t>
        </is>
      </c>
    </row>
    <row r="48" ht="120" customHeight="1">
      <c r="A48" s="2" t="inlineStr">
        <is>
          <t>047</t>
        </is>
      </c>
      <c r="B48" s="2" t="inlineStr">
        <is>
          <t>2025/10/30</t>
        </is>
      </c>
      <c r="C48" s="2" t="inlineStr">
        <is>
          <t>旺宏</t>
        </is>
      </c>
      <c r="D48" s="45" t="n">
        <v>2337</v>
      </c>
      <c r="E48" s="2" t="inlineStr">
        <is>
          <t>美系大行</t>
        </is>
      </c>
      <c r="F48" s="47" t="inlineStr">
        <is>
          <t>• 昨日法說會後，美系大行維持正向觀察不變。
• 維持修正後的EPS預估：-1.86/$0.24/$0.86，目標不變。
• 3Q實際EPS-0.47低於券商預估的-0.37，認為反映去化庫存與匯率變化影響，但維持預估明年轉盈的目標不變。
• 對Nor 看法正向，預估在明年上半年之前報價仍能溫和成長。
• NAND 的需求與報價也在回升中，預期能改善公司毛利率。
• ROM則持續受益日系遊戲機。
• 總體而言，券商維持快閃記憶業務在此次記憶體的超級循環裡正向觀察不變。</t>
        </is>
      </c>
      <c r="G48" s="3" t="inlineStr">
        <is>
          <t>#Nor #NAND #ROM</t>
        </is>
      </c>
    </row>
    <row r="49" ht="120" customHeight="1">
      <c r="A49" s="2" t="inlineStr">
        <is>
          <t>048</t>
        </is>
      </c>
      <c r="B49" s="2" t="inlineStr">
        <is>
          <t>2025/10/30</t>
        </is>
      </c>
      <c r="C49" s="2" t="inlineStr">
        <is>
          <t>聯亞</t>
        </is>
      </c>
      <c r="D49" s="45" t="n">
        <v>3081</v>
      </c>
      <c r="E49" s="2" t="inlineStr">
        <is>
          <t>美系券商</t>
        </is>
      </c>
      <c r="F49" s="47" t="inlineStr">
        <is>
          <t>• 3Q毛利率符合美系預期，OPM不如預期反應研發支出高於預估，然券商認為仍能透過營收規模成長，改善營運效率。
• 預估4Q營收季增近3成、年增146%，來自InP 基板供應改善 及 對 CW 雷射需求強勁。
• 明年新產能逐步開出，並同步推進 3 吋基板的矽光子 CW 雷射產品轉換。
• 券商上修 2027–2028 年預期，預期矽光子滲透率提高，產品組合升級至 1.
• 6T / 3.2T 高速傳輸方案。</t>
        </is>
      </c>
      <c r="G49" s="3" t="inlineStr">
        <is>
          <t>#矽光子 #InP #CW雷射</t>
        </is>
      </c>
    </row>
    <row r="50" ht="120" customHeight="1">
      <c r="A50" s="2" t="inlineStr">
        <is>
          <t>049</t>
        </is>
      </c>
      <c r="B50" s="2" t="inlineStr">
        <is>
          <t>2025/10/30</t>
        </is>
      </c>
      <c r="C50" s="2" t="inlineStr">
        <is>
          <t>光寶科</t>
        </is>
      </c>
      <c r="D50" s="45" t="n">
        <v>2301</v>
      </c>
      <c r="E50" s="2" t="inlineStr">
        <is>
          <t>美系大行</t>
        </is>
      </c>
      <c r="F50" s="47" t="inlineStr">
        <is>
          <t>• 法說會後美系大行認為3Q OPM不如預期因受到關稅預付與研發投入增加有關。
• 不過，預估4Q營收展望正向；季增5%、年增23%。
• 明年資本支出增加，越南、台灣、美國產能皆要擴充。
• 會發行CB支應業務發展與股利。</t>
        </is>
      </c>
      <c r="G50" s="3" t="inlineStr">
        <is>
          <t>#CB #擴產</t>
        </is>
      </c>
    </row>
    <row r="51" ht="120" customHeight="1">
      <c r="A51" s="2" t="inlineStr">
        <is>
          <t>050</t>
        </is>
      </c>
      <c r="B51" s="2" t="inlineStr">
        <is>
          <t>2025/10/30</t>
        </is>
      </c>
      <c r="C51" s="2" t="inlineStr">
        <is>
          <t>Celestica/智邦</t>
        </is>
      </c>
      <c r="D51" s="45" t="n">
        <v>2345</v>
      </c>
      <c r="E51" s="2" t="inlineStr">
        <is>
          <t>美系券商</t>
        </is>
      </c>
      <c r="F51" s="47" t="inlineStr">
        <is>
          <t>• 美系解讀Celestica財報：
3Q財報優於預期，800G 網通交換機出貨加速。
• 1.6T 專案於 2026 下半年啟動，動能預期延續至 2027 年，除了Switch升級外，後面還有LPO/CPO 光模組及大規模乙太網路解決方案等。
• 券商認為對同業2345智邦也是正面解讀，除了產品升級趨勢明確外，券商也看到客戶群擴大，對智邦重申正向評等不變。</t>
        </is>
      </c>
      <c r="G51" s="3" t="inlineStr">
        <is>
          <t>#800G #1.6T #LPO</t>
        </is>
      </c>
    </row>
    <row r="52">
      <c r="A52" s="43" t="n">
        <v>51</v>
      </c>
      <c r="B52" s="43" t="inlineStr">
        <is>
          <t>2025/10/28</t>
        </is>
      </c>
      <c r="C52" s="43" t="inlineStr">
        <is>
          <t>貿聯</t>
        </is>
      </c>
      <c r="D52" s="46" t="n">
        <v>3665</v>
      </c>
      <c r="E52" s="43" t="inlineStr">
        <is>
          <t>美系大行</t>
        </is>
      </c>
      <c r="F52" s="44" t="inlineStr">
        <is>
          <t>• 美系上修25-27年EPS至$43.8/$57.8/$69.8，給予30xPE評價。
• AEC已導入多家CSP的GPU伺服器。</t>
        </is>
      </c>
      <c r="G52" s="43" t="inlineStr">
        <is>
          <t>#AEC #電源互連</t>
        </is>
      </c>
    </row>
    <row r="53">
      <c r="A53" s="43" t="n">
        <v>52</v>
      </c>
      <c r="B53" s="43" t="inlineStr">
        <is>
          <t>2025/10/28</t>
        </is>
      </c>
      <c r="C53" s="43" t="inlineStr">
        <is>
          <t>奇鋐</t>
        </is>
      </c>
      <c r="D53" s="46" t="n">
        <v>3017</v>
      </c>
      <c r="E53" s="43" t="inlineStr">
        <is>
          <t>亞系券商</t>
        </is>
      </c>
      <c r="F53" s="44" t="inlineStr">
        <is>
          <t>• 亞系調升25-27年EPS至$46.7/$63.4/$77.2，以29xPE評價。
• 3Q毛利率有望達歷史高26.7%。</t>
        </is>
      </c>
      <c r="G53" s="43" t="inlineStr">
        <is>
          <t>#水冷 #ASIC</t>
        </is>
      </c>
    </row>
    <row r="54">
      <c r="A54" s="43" t="n">
        <v>53</v>
      </c>
      <c r="B54" s="43" t="inlineStr">
        <is>
          <t>2025/10/27</t>
        </is>
      </c>
      <c r="C54" s="43" t="inlineStr">
        <is>
          <t>南亞科</t>
        </is>
      </c>
      <c r="D54" s="46" t="n">
        <v>2408</v>
      </c>
      <c r="E54" s="43" t="inlineStr">
        <is>
          <t>美系大行</t>
        </is>
      </c>
      <c r="F54" s="43" t="inlineStr">
        <is>
          <t>DDR4在switch裡繼續採用。DDR4供給缺口有機會接近10-15%上緣。</t>
        </is>
      </c>
      <c r="G54" s="43" t="inlineStr">
        <is>
          <t>#DDR4 #缺貨</t>
        </is>
      </c>
    </row>
    <row r="55">
      <c r="A55" s="43" t="n">
        <v>54</v>
      </c>
      <c r="B55" s="43" t="inlineStr">
        <is>
          <t>2025/10/17</t>
        </is>
      </c>
      <c r="C55" s="43" t="inlineStr">
        <is>
          <t>台積電</t>
        </is>
      </c>
      <c r="D55" s="46" t="n">
        <v>2330</v>
      </c>
      <c r="E55" s="43" t="inlineStr">
        <is>
          <t>美系券商</t>
        </is>
      </c>
      <c r="F55" s="44" t="inlineStr">
        <is>
          <t>• 3Q毛利率/EPS優於預估。
• 全力擴充明年CoWoS產能。
• 上調25-27年EPS至$63.6/$76/$102.9。</t>
        </is>
      </c>
      <c r="G55" s="43" t="inlineStr">
        <is>
          <t>#CoWoS #法說會</t>
        </is>
      </c>
    </row>
    <row r="56">
      <c r="A56" s="43" t="n">
        <v>55</v>
      </c>
      <c r="B56" s="43" t="inlineStr">
        <is>
          <t>2025/10/01</t>
        </is>
      </c>
      <c r="C56" s="43" t="inlineStr">
        <is>
          <t>鴻海</t>
        </is>
      </c>
      <c r="D56" s="46" t="n">
        <v>2317</v>
      </c>
      <c r="E56" s="43" t="inlineStr">
        <is>
          <t>美系券商</t>
        </is>
      </c>
      <c r="F56" s="43" t="inlineStr">
        <is>
          <t>預估AI伺服器明年營收翻倍。CSP客戶已有微軟與甲骨文。</t>
        </is>
      </c>
      <c r="G56" s="43" t="inlineStr">
        <is>
          <t>#rack-level #CSP</t>
        </is>
      </c>
    </row>
    <row r="57">
      <c r="A57" s="43" t="n">
        <v>56</v>
      </c>
      <c r="B57" s="43" t="inlineStr">
        <is>
          <t>2025/10/28</t>
        </is>
      </c>
      <c r="C57" s="43" t="inlineStr">
        <is>
          <t>景碩</t>
        </is>
      </c>
      <c r="D57" s="46" t="n">
        <v>3189</v>
      </c>
      <c r="E57" s="43" t="inlineStr">
        <is>
          <t>美系券商</t>
        </is>
      </c>
      <c r="F57" s="44" t="inlineStr">
        <is>
          <t>• 3Q result不如預期，來自成本上升，BT/ABF漲價效應要1-2月後顯現。
• 預期4Q毛利率上升6個百分點至25%。</t>
        </is>
      </c>
      <c r="G57" s="43" t="inlineStr">
        <is>
          <t>#BT #ABF #漲價</t>
        </is>
      </c>
    </row>
    <row r="58">
      <c r="A58" s="43" t="n">
        <v>57</v>
      </c>
      <c r="B58" s="43" t="inlineStr">
        <is>
          <t>2025/10/27</t>
        </is>
      </c>
      <c r="C58" s="43" t="inlineStr">
        <is>
          <t>華邦電</t>
        </is>
      </c>
      <c r="D58" s="46" t="n">
        <v>2344</v>
      </c>
      <c r="E58" s="43" t="inlineStr">
        <is>
          <t>美系大行</t>
        </is>
      </c>
      <c r="F58" s="43" t="inlineStr">
        <is>
          <t>預估4Q毛利率再升。</t>
        </is>
      </c>
      <c r="G58" s="43" t="inlineStr">
        <is>
          <t>#記憶體 #毛利率</t>
        </is>
      </c>
    </row>
    <row r="59">
      <c r="A59" s="43" t="n">
        <v>58</v>
      </c>
      <c r="B59" s="43" t="inlineStr">
        <is>
          <t>2025/10/27</t>
        </is>
      </c>
      <c r="C59" s="43" t="inlineStr">
        <is>
          <t>貿聯</t>
        </is>
      </c>
      <c r="D59" s="46" t="n">
        <v>3665</v>
      </c>
      <c r="E59" s="43" t="inlineStr">
        <is>
          <t>亞系券商</t>
        </is>
      </c>
      <c r="F59" s="44" t="inlineStr">
        <is>
          <t>• 上修25-27年EPS至$43/$60/$74.7。
• 隨資料傳輸速率升級，貿聯持續受惠AEC滲透率提升。
• 預估HPC營收25-27年佔比34%/44%/49%。</t>
        </is>
      </c>
      <c r="G59" s="43" t="inlineStr">
        <is>
          <t>#AEC #HPC #800G</t>
        </is>
      </c>
    </row>
    <row r="60">
      <c r="A60" s="43" t="n">
        <v>59</v>
      </c>
      <c r="B60" s="43" t="inlineStr">
        <is>
          <t>2025/10/27</t>
        </is>
      </c>
      <c r="C60" s="43" t="inlineStr">
        <is>
          <t>富世達</t>
        </is>
      </c>
      <c r="D60" s="46" t="n">
        <v>6805</v>
      </c>
      <c r="E60" s="43" t="inlineStr">
        <is>
          <t>美系券商</t>
        </is>
      </c>
      <c r="F60" s="44" t="inlineStr">
        <is>
          <t>• 從9月自結反應獲利能力提升，判斷來自水冷零組件佔比提升。
• 預估水冷零組件營收比從2024年3%提升至2027年49%。</t>
        </is>
      </c>
      <c r="G60" s="43" t="inlineStr">
        <is>
          <t>#水冷 #零組件</t>
        </is>
      </c>
    </row>
    <row r="61">
      <c r="A61" s="43" t="n">
        <v>60</v>
      </c>
      <c r="B61" s="43" t="inlineStr">
        <is>
          <t>2025/10/27</t>
        </is>
      </c>
      <c r="C61" s="43" t="inlineStr">
        <is>
          <t>台達電</t>
        </is>
      </c>
      <c r="D61" s="46" t="n">
        <v>2308</v>
      </c>
      <c r="E61" s="43" t="inlineStr">
        <is>
          <t>美系券商</t>
        </is>
      </c>
      <c r="F61" s="44" t="inlineStr">
        <is>
          <t>• GB300伺服器機櫃中電源每瓦特價值比GB200高2成，推升OPM，未來800 VDC受益可期。
• 上修25-27年EPS至$23.6/$34.5/$41.3。</t>
        </is>
      </c>
      <c r="G61" s="43" t="inlineStr">
        <is>
          <t>#電源 #GB300 #800VDC</t>
        </is>
      </c>
    </row>
    <row r="62">
      <c r="A62" s="43" t="n">
        <v>61</v>
      </c>
      <c r="B62" s="43" t="inlineStr">
        <is>
          <t>2025/10/22</t>
        </is>
      </c>
      <c r="C62" s="43" t="inlineStr">
        <is>
          <t>南電</t>
        </is>
      </c>
      <c r="D62" s="46" t="n">
        <v>8046</v>
      </c>
      <c r="E62" s="43" t="inlineStr">
        <is>
          <t>美系券商</t>
        </is>
      </c>
      <c r="F62" s="44" t="inlineStr">
        <is>
          <t>• 上修26-27年EPS至$15.2/$24.2。
• 觀察ABF 25-27年市場TAM成長24%，產能成長率僅11%，預期明下半年ABF產業達供需平衡，後年出現12%供給缺口。
• 明年預估BT/ABF每季皆會有5-10%漲幅。</t>
        </is>
      </c>
      <c r="G62" s="43" t="inlineStr">
        <is>
          <t>#ABF #BT #供需缺口</t>
        </is>
      </c>
    </row>
    <row r="63">
      <c r="A63" s="43" t="n">
        <v>62</v>
      </c>
      <c r="B63" s="43" t="inlineStr">
        <is>
          <t>2025/10/22</t>
        </is>
      </c>
      <c r="C63" s="43" t="inlineStr">
        <is>
          <t>東元</t>
        </is>
      </c>
      <c r="D63" s="46" t="n">
        <v>1504</v>
      </c>
      <c r="E63" s="43" t="inlineStr">
        <is>
          <t>美系券商</t>
        </is>
      </c>
      <c r="F63" s="43" t="inlineStr">
        <is>
          <t>強調在模組化資料中心扮演基礎設施建置。開始為美國大型搜尋引擎客戶服務，該客戶用GB200機櫃架構。</t>
        </is>
      </c>
      <c r="G63" s="43" t="inlineStr">
        <is>
          <t>#MDC #GB200</t>
        </is>
      </c>
    </row>
    <row r="64">
      <c r="A64" s="43" t="n">
        <v>63</v>
      </c>
      <c r="B64" s="43" t="inlineStr">
        <is>
          <t>2025/10/22</t>
        </is>
      </c>
      <c r="C64" s="43" t="inlineStr">
        <is>
          <t>緯穎</t>
        </is>
      </c>
      <c r="D64" s="46" t="n">
        <v>6669</v>
      </c>
      <c r="E64" s="43" t="inlineStr">
        <is>
          <t>亞系券商</t>
        </is>
      </c>
      <c r="F64" s="44" t="inlineStr">
        <is>
          <t>• 上修25-27年EPS至$239.5/$287.5/$329。
• AWS ASIC過渡轉換期已為市場共識，GPU伺服器預估明年交付Oracle 2k。</t>
        </is>
      </c>
      <c r="G64" s="43" t="inlineStr">
        <is>
          <t>#AWS #GPU #Oracle</t>
        </is>
      </c>
    </row>
    <row r="65">
      <c r="A65" s="43" t="n">
        <v>64</v>
      </c>
      <c r="B65" s="43" t="inlineStr">
        <is>
          <t>2025/10/21</t>
        </is>
      </c>
      <c r="C65" s="43" t="inlineStr">
        <is>
          <t>緯穎</t>
        </is>
      </c>
      <c r="D65" s="46" t="n">
        <v>6669</v>
      </c>
      <c r="E65" s="43" t="inlineStr">
        <is>
          <t>澳系券商</t>
        </is>
      </c>
      <c r="F65" s="44" t="inlineStr">
        <is>
          <t>• 看到AWS ASIC伺服器強勁需求，預估今年已貢獻營收比5成，明年T3導入後預估營收再成長35%。
• 上修25-27年EPS：$252/$317/$402。</t>
        </is>
      </c>
      <c r="G65" s="43" t="inlineStr">
        <is>
          <t>#AWS #T3 #ASIC</t>
        </is>
      </c>
    </row>
    <row r="66">
      <c r="A66" s="43" t="n">
        <v>65</v>
      </c>
      <c r="B66" s="43" t="inlineStr">
        <is>
          <t>2025/10/21</t>
        </is>
      </c>
      <c r="C66" s="43" t="inlineStr">
        <is>
          <t>富世達</t>
        </is>
      </c>
      <c r="D66" s="46" t="n">
        <v>6805</v>
      </c>
      <c r="E66" s="43" t="inlineStr">
        <is>
          <t>亞系券商</t>
        </is>
      </c>
      <c r="F66" s="44" t="inlineStr">
        <is>
          <t>• 今年伺服器表現優於原本預估，預期今年後伺服器營收比將上升至超過4成以上。
• UQD 3Q優於預期，明年水冷導入後更具上行空間。
• 上修25-27年EPS至$31.1/$52.1/$70.5。</t>
        </is>
      </c>
      <c r="G66" s="43" t="inlineStr">
        <is>
          <t>#水冷 #伺服器</t>
        </is>
      </c>
    </row>
    <row r="67">
      <c r="A67" s="43" t="n">
        <v>66</v>
      </c>
      <c r="B67" s="43" t="inlineStr">
        <is>
          <t>2025/10/20</t>
        </is>
      </c>
      <c r="C67" s="43" t="inlineStr">
        <is>
          <t>東元</t>
        </is>
      </c>
      <c r="D67" s="46" t="n">
        <v>1504</v>
      </c>
      <c r="E67" s="43" t="inlineStr">
        <is>
          <t>美系券商</t>
        </is>
      </c>
      <c r="F67" s="44" t="inlineStr">
        <is>
          <t>• 預估25-27年EPS:$2.4/$4.4/$7.2。
• 除模組化資料中心大案外，馬達業務也開始復甦，主要受中東地區石油、天然氣與海水淡化專案帶動。</t>
        </is>
      </c>
      <c r="G67" s="43" t="inlineStr">
        <is>
          <t>#MDC #馬達 #中東</t>
        </is>
      </c>
    </row>
    <row r="68">
      <c r="A68" s="43" t="n">
        <v>67</v>
      </c>
      <c r="B68" s="43" t="inlineStr">
        <is>
          <t>2025/10/20</t>
        </is>
      </c>
      <c r="C68" s="43" t="inlineStr">
        <is>
          <t>聯亞</t>
        </is>
      </c>
      <c r="D68" s="46" t="n">
        <v>3081</v>
      </c>
      <c r="E68" s="43" t="inlineStr">
        <is>
          <t>美系券商</t>
        </is>
      </c>
      <c r="F68" s="44" t="inlineStr">
        <is>
          <t>• 矽光子出貨放量將推動4Q25成長。
• 預估10/11月營收月增幅達20%，InP基板供應逐步改善，產品組合持續往800G/1.
• 6T高速傳輸雷射升級。</t>
        </is>
      </c>
      <c r="G68" s="43" t="inlineStr">
        <is>
          <t>#矽光子 #800G #1.6T</t>
        </is>
      </c>
    </row>
    <row r="69">
      <c r="A69" s="43" t="n">
        <v>68</v>
      </c>
      <c r="B69" s="43" t="inlineStr">
        <is>
          <t>2025/10/17</t>
        </is>
      </c>
      <c r="C69" s="43" t="inlineStr">
        <is>
          <t>緯穎</t>
        </is>
      </c>
      <c r="D69" s="46" t="n">
        <v>6669</v>
      </c>
      <c r="E69" s="43" t="inlineStr">
        <is>
          <t>美系券商</t>
        </is>
      </c>
      <c r="F69" s="44" t="inlineStr">
        <is>
          <t>• ASIC伺服器產品轉換已成市場共識。
• 觀察GPU伺服器接下來還會新增一個客戶，同時取得新的AMD GPU專案，預期明下半年開始貢獻營收。
• 上修25/26年EPS至$255.8/$287。</t>
        </is>
      </c>
      <c r="G69" s="43" t="inlineStr">
        <is>
          <t>#GPU #AMD #ASIC</t>
        </is>
      </c>
    </row>
    <row r="70">
      <c r="A70" s="43" t="n">
        <v>69</v>
      </c>
      <c r="B70" s="43" t="inlineStr">
        <is>
          <t>2025/10/17</t>
        </is>
      </c>
      <c r="C70" s="43" t="inlineStr">
        <is>
          <t>奇鋐</t>
        </is>
      </c>
      <c r="D70" s="46" t="n">
        <v>3017</v>
      </c>
      <c r="E70" s="43" t="inlineStr">
        <is>
          <t>亞系券商</t>
        </is>
      </c>
      <c r="F70" s="44" t="inlineStr">
        <is>
          <t>• 主流AI晶片TDP將於明年中升級至約2,000瓦以上，到2027年AI晶片TDP很可能突破3,000瓦。
• MCL可能成為2027年後針對3,000W以上晶片最具可行性散熱解決方案。</t>
        </is>
      </c>
      <c r="G70" s="43" t="inlineStr">
        <is>
          <t>#MCL #TDP #3000W</t>
        </is>
      </c>
    </row>
    <row r="71">
      <c r="A71" s="43" t="n">
        <v>70</v>
      </c>
      <c r="B71" s="43" t="inlineStr">
        <is>
          <t>2025/10/17</t>
        </is>
      </c>
      <c r="C71" s="43" t="inlineStr">
        <is>
          <t>健策</t>
        </is>
      </c>
      <c r="D71" s="46" t="n">
        <v>3653</v>
      </c>
      <c r="E71" s="43" t="inlineStr">
        <is>
          <t>亞系券商</t>
        </is>
      </c>
      <c r="F71" s="44" t="inlineStr">
        <is>
          <t>• 亞系首次覆蓋健策。
• MCL可能成為2027年後針對3,000W以上晶片最具可行性散熱解決方案。
• 預期MCL要到2027年下半年才量產。</t>
        </is>
      </c>
      <c r="G71" s="43" t="inlineStr">
        <is>
          <t>#散熱 #MCL</t>
        </is>
      </c>
    </row>
    <row r="72">
      <c r="A72" s="43" t="n">
        <v>71</v>
      </c>
      <c r="B72" s="43" t="inlineStr">
        <is>
          <t>2025/10/16</t>
        </is>
      </c>
      <c r="C72" s="43" t="inlineStr">
        <is>
          <t>緯穎</t>
        </is>
      </c>
      <c r="D72" s="46" t="n">
        <v>6669</v>
      </c>
      <c r="E72" s="43" t="inlineStr">
        <is>
          <t>美系券商</t>
        </is>
      </c>
      <c r="F72" s="44" t="inlineStr">
        <is>
          <t>• 在OCP看展，觀察緯穎是唯一展示ORW機櫃。
• 推估緯穎是AMD「Helios」機櫃設計與製造合作夥伴。
• AMD宣布Oracle將成為MI450 GPU系列首發合作夥伴。</t>
        </is>
      </c>
      <c r="G72" s="43" t="inlineStr">
        <is>
          <t>#ORW #AMD #Helios</t>
        </is>
      </c>
    </row>
    <row r="73">
      <c r="A73" s="43" t="n">
        <v>72</v>
      </c>
      <c r="B73" s="43" t="inlineStr">
        <is>
          <t>2025/10/16</t>
        </is>
      </c>
      <c r="C73" s="43" t="inlineStr">
        <is>
          <t>川湖</t>
        </is>
      </c>
      <c r="D73" s="46" t="n">
        <v>2059</v>
      </c>
      <c r="E73" s="43" t="inlineStr">
        <is>
          <t>美系券商</t>
        </is>
      </c>
      <c r="F73" s="44" t="inlineStr">
        <is>
          <t>• 上修25-27年EPS至$86.8/$145.7/$199.7。
• 觀察重點：rack-level出貨增、ASIC伺服器高客製化、dollar content增。
• 預期明後年毛利率再推升至76.7%/78.2%。</t>
        </is>
      </c>
      <c r="G73" s="43" t="inlineStr">
        <is>
          <t>#rack-level #ASIC</t>
        </is>
      </c>
    </row>
    <row r="74">
      <c r="A74" s="43" t="n">
        <v>73</v>
      </c>
      <c r="B74" s="43" t="inlineStr">
        <is>
          <t>2025/10/15</t>
        </is>
      </c>
      <c r="C74" s="43" t="inlineStr">
        <is>
          <t>緯穎</t>
        </is>
      </c>
      <c r="D74" s="46" t="n">
        <v>6669</v>
      </c>
      <c r="E74" s="43" t="inlineStr">
        <is>
          <t>美系券商</t>
        </is>
      </c>
      <c r="F74" s="44" t="inlineStr">
        <is>
          <t>• 參加OCP大會，觀察緯穎提出因應未來水冷、電源改變上對應技術與設計。
• 上修明後年EPS至$229/$261。</t>
        </is>
      </c>
      <c r="G74" s="43" t="inlineStr">
        <is>
          <t>#OCP #水冷</t>
        </is>
      </c>
    </row>
    <row r="75">
      <c r="A75" s="43" t="n">
        <v>74</v>
      </c>
      <c r="B75" s="43" t="inlineStr">
        <is>
          <t>2025/10/15</t>
        </is>
      </c>
      <c r="C75" s="43" t="inlineStr">
        <is>
          <t>台達電</t>
        </is>
      </c>
      <c r="D75" s="46" t="n">
        <v>2308</v>
      </c>
      <c r="E75" s="43" t="inlineStr">
        <is>
          <t>美系券商</t>
        </is>
      </c>
      <c r="F75" s="44" t="inlineStr">
        <is>
          <t>• 明年伺服器電源升級，台達電為主要受益廠商。
• 預估4Q營收季增25-30%。
• Nvidia正式發布800V直流供電生態系，讓相同銅導體傳輸電力提升超過150%。
• 上修今明年EPS至$29/$35.2。</t>
        </is>
      </c>
      <c r="G75" s="43" t="inlineStr">
        <is>
          <t>#800VDC #Power_Rack</t>
        </is>
      </c>
    </row>
    <row r="76">
      <c r="A76" s="43" t="n">
        <v>75</v>
      </c>
      <c r="B76" s="43" t="inlineStr">
        <is>
          <t>2025/10/14</t>
        </is>
      </c>
      <c r="C76" s="43" t="inlineStr">
        <is>
          <t>南亞科</t>
        </is>
      </c>
      <c r="D76" s="46" t="n">
        <v>2408</v>
      </c>
      <c r="E76" s="43" t="inlineStr">
        <is>
          <t>美系券商</t>
        </is>
      </c>
      <c r="F76" s="44" t="inlineStr">
        <is>
          <t>• 3Q result符合預期，上修今年出貨量年增5成。
• 維持DDR4將缺貨數季預告不變。
• DDR5 16Gb 6400Mbps模組即將上市。
• WoW預計明年開始貢獻營收。</t>
        </is>
      </c>
      <c r="G76" s="43" t="inlineStr">
        <is>
          <t>#DDR4 #DDR5 #法說會</t>
        </is>
      </c>
    </row>
    <row r="77">
      <c r="A77" s="43" t="n">
        <v>76</v>
      </c>
      <c r="B77" s="43" t="inlineStr">
        <is>
          <t>2025/10/13</t>
        </is>
      </c>
      <c r="C77" s="43" t="inlineStr">
        <is>
          <t>京元電</t>
        </is>
      </c>
      <c r="D77" s="46" t="n">
        <v>2449</v>
      </c>
      <c r="E77" s="43" t="inlineStr">
        <is>
          <t>美系券商</t>
        </is>
      </c>
      <c r="F77" s="44" t="inlineStr">
        <is>
          <t>• 管理層撤回現增案，美系重申正向評等。
• 公司握有銀行850億授信額度充裕。
• AI需求維持強勁，重申明年營收成長3成預估不變。</t>
        </is>
      </c>
      <c r="G77" s="43" t="inlineStr">
        <is>
          <t>#現增撤回 #測試</t>
        </is>
      </c>
    </row>
    <row r="78">
      <c r="A78" s="43" t="n">
        <v>77</v>
      </c>
      <c r="B78" s="43" t="inlineStr">
        <is>
          <t>2025/10/13</t>
        </is>
      </c>
      <c r="C78" s="43" t="inlineStr">
        <is>
          <t>弘塑</t>
        </is>
      </c>
      <c r="D78" s="46" t="n">
        <v>3131</v>
      </c>
      <c r="E78" s="43" t="inlineStr">
        <is>
          <t>美系券商</t>
        </is>
      </c>
      <c r="F78" s="44" t="inlineStr">
        <is>
          <t>• 首次覆蓋給予正向評等。
• 預估25-27年EPS:$39/$57/$68。
• 先受益CoWoS，明年還有WLCM/fan-out，之後CoPoS接棒。
• 預期ASP將上升50-100%。</t>
        </is>
      </c>
      <c r="G78" s="43" t="inlineStr">
        <is>
          <t>#CoWoS #WLCM #CoPoS</t>
        </is>
      </c>
    </row>
    <row r="79">
      <c r="A79" s="43" t="n">
        <v>78</v>
      </c>
      <c r="B79" s="43" t="inlineStr">
        <is>
          <t>2025/10/13</t>
        </is>
      </c>
      <c r="C79" s="43" t="inlineStr">
        <is>
          <t>台達電</t>
        </is>
      </c>
      <c r="D79" s="46" t="n">
        <v>2308</v>
      </c>
      <c r="E79" s="43" t="inlineStr">
        <is>
          <t>美系券商</t>
        </is>
      </c>
      <c r="F79" s="44" t="inlineStr">
        <is>
          <t>• 9月營收再創歷史新高，高於預估數19%。
• 其中水冷營收月增一倍，並佔總營收達16%。
• 預期4Q營收季增5-10%。
• 重申首選(Top Pick)。</t>
        </is>
      </c>
      <c r="G79" s="43" t="inlineStr">
        <is>
          <t>#水冷 #Top_Pick</t>
        </is>
      </c>
    </row>
    <row r="80">
      <c r="A80" s="43" t="n">
        <v>79</v>
      </c>
      <c r="B80" s="43" t="inlineStr">
        <is>
          <t>2025/10/13</t>
        </is>
      </c>
      <c r="C80" s="43" t="inlineStr">
        <is>
          <t>大立光</t>
        </is>
      </c>
      <c r="D80" s="46" t="n">
        <v>3008</v>
      </c>
      <c r="E80" s="43" t="inlineStr">
        <is>
          <t>美系券商</t>
        </is>
      </c>
      <c r="F80" s="44" t="inlineStr">
        <is>
          <t>• 展望4Q預估毛利率進一步攀升，因20MP以上高畫素鏡頭出貨比重約達20-30%。
• 長期手機鏡頭升級趨勢：配備更多光圈模組、可變光圈鏡頭等。
• 上修明後年EPS至$204/$214。</t>
        </is>
      </c>
      <c r="G80" s="43" t="inlineStr">
        <is>
          <t>#鏡頭 #高畫素</t>
        </is>
      </c>
    </row>
    <row r="81">
      <c r="A81" s="43" t="n">
        <v>80</v>
      </c>
      <c r="B81" s="43" t="inlineStr">
        <is>
          <t>2025/10/07</t>
        </is>
      </c>
      <c r="C81" s="43" t="inlineStr">
        <is>
          <t>鴻海</t>
        </is>
      </c>
      <c r="D81" s="46" t="n">
        <v>2317</v>
      </c>
      <c r="E81" s="43" t="inlineStr">
        <is>
          <t>美系券商</t>
        </is>
      </c>
      <c r="F81" s="44" t="inlineStr">
        <is>
          <t>• 3Q營收年增99%、季增14%符合券商預期，但高於市場預期。
• 預期4Q營收續升季增21%，GB系列出貨發威，加上iPhone 17優於預期表現。</t>
        </is>
      </c>
      <c r="G81" s="43" t="inlineStr">
        <is>
          <t>#GB系列 #iPhone17</t>
        </is>
      </c>
    </row>
    <row r="82">
      <c r="A82" s="43" t="n">
        <v>81</v>
      </c>
      <c r="B82" s="43" t="inlineStr">
        <is>
          <t>2025/10/07</t>
        </is>
      </c>
      <c r="C82" s="43" t="inlineStr">
        <is>
          <t>健策</t>
        </is>
      </c>
      <c r="D82" s="46" t="n">
        <v>3653</v>
      </c>
      <c r="E82" s="43" t="inlineStr">
        <is>
          <t>美系券商</t>
        </is>
      </c>
      <c r="F82" s="44" t="inlineStr">
        <is>
          <t>• 重申MCL2026年下半年起導入，2027年進入主流應用。
• 預估明年出貨量1m，券商觀察比市場觀察更正面。</t>
        </is>
      </c>
      <c r="G82" s="43" t="inlineStr">
        <is>
          <t>#MCL #散熱</t>
        </is>
      </c>
    </row>
    <row r="83">
      <c r="A83" s="43" t="n">
        <v>82</v>
      </c>
      <c r="B83" s="43" t="inlineStr">
        <is>
          <t>2025/10/07</t>
        </is>
      </c>
      <c r="C83" s="43" t="inlineStr">
        <is>
          <t>台積電</t>
        </is>
      </c>
      <c r="D83" s="46" t="n">
        <v>2330</v>
      </c>
      <c r="E83" s="43" t="inlineStr">
        <is>
          <t>澳系券商</t>
        </is>
      </c>
      <c r="F83" s="43" t="inlineStr">
        <is>
          <t>觀察主要AI晶片將轉向3奈米製程，推升台積電ASP往上。且預估明年漲價，上調獲利模型，調升目標。</t>
        </is>
      </c>
      <c r="G83" s="43" t="inlineStr">
        <is>
          <t>#N3 #ASP #漲價</t>
        </is>
      </c>
    </row>
    <row r="84">
      <c r="A84" s="43" t="n">
        <v>83</v>
      </c>
      <c r="B84" s="43" t="inlineStr">
        <is>
          <t>2025/10/03</t>
        </is>
      </c>
      <c r="C84" s="43" t="inlineStr">
        <is>
          <t>台達電</t>
        </is>
      </c>
      <c r="D84" s="46" t="n">
        <v>2308</v>
      </c>
      <c r="E84" s="43" t="inlineStr">
        <is>
          <t>美系券商</t>
        </is>
      </c>
      <c r="F84" s="44" t="inlineStr">
        <is>
          <t>• 調升25-27年EPS至$21.9/$37/$70。
• Nvidia單晶片耗電量預期將從Blackwell的1.2/1.
• 4kW提升至Rubin的2.3/3.6kW。
• 台達電在未來HVDC更具價值。</t>
        </is>
      </c>
      <c r="G84" s="43" t="inlineStr">
        <is>
          <t>#HVDC #Rubin #ROE</t>
        </is>
      </c>
    </row>
    <row r="85">
      <c r="A85" s="43" t="n">
        <v>84</v>
      </c>
      <c r="B85" s="43" t="inlineStr">
        <is>
          <t>2025/10/02</t>
        </is>
      </c>
      <c r="C85" s="43" t="inlineStr">
        <is>
          <t>緯創</t>
        </is>
      </c>
      <c r="D85" s="46" t="n">
        <v>3231</v>
      </c>
      <c r="E85" s="43" t="inlineStr">
        <is>
          <t>美系券商</t>
        </is>
      </c>
      <c r="F85" s="44" t="inlineStr">
        <is>
          <t>• 升為首選(Top Pick)，升明後年EPS至$11.6/$14.
• 9。
• 明年推出VR200，Nivida欽點緯創、鴻海、廣達組裝compute trays。
• 上修明年等效機櫃出貨量至10k。</t>
        </is>
      </c>
      <c r="G85" s="43" t="inlineStr">
        <is>
          <t>#VR200 #Top_Pick</t>
        </is>
      </c>
    </row>
    <row r="86">
      <c r="A86" s="43" t="n">
        <v>85</v>
      </c>
      <c r="B86" s="43" t="inlineStr">
        <is>
          <t>2025/10/02</t>
        </is>
      </c>
      <c r="C86" s="43" t="inlineStr">
        <is>
          <t>緯穎</t>
        </is>
      </c>
      <c r="D86" s="46" t="n">
        <v>6669</v>
      </c>
      <c r="E86" s="43" t="inlineStr">
        <is>
          <t>亞系券商</t>
        </is>
      </c>
      <c r="F86" s="44" t="inlineStr">
        <is>
          <t>• 預估25-27年EPS為$235.6/$258.6/$288.
• 3。
• AWS ASIC過渡轉換期已為市場共識，Oracle GPU機櫃放量，明下半年AWS液冷機櫃也開始出貨。</t>
        </is>
      </c>
      <c r="G86" s="43" t="inlineStr">
        <is>
          <t>#AWS #ASIC #液冷</t>
        </is>
      </c>
    </row>
    <row r="87">
      <c r="A87" s="43" t="n">
        <v>86</v>
      </c>
      <c r="B87" s="43" t="inlineStr">
        <is>
          <t>2025/10/01</t>
        </is>
      </c>
      <c r="C87" s="43" t="inlineStr">
        <is>
          <t>信驊</t>
        </is>
      </c>
      <c r="D87" s="46" t="n">
        <v>5274</v>
      </c>
      <c r="E87" s="43" t="inlineStr">
        <is>
          <t>美系券商</t>
        </is>
      </c>
      <c r="F87" s="44" t="inlineStr">
        <is>
          <t>• 預期3Q營收有望季增1.6%。
• 預估毛利率68%優於2Q。
• 預期AST2700明年佔營收比達2成，ASP較AST2600增70-80%。
• 上修25-27年EPS至$86.4/$124.6/$163。</t>
        </is>
      </c>
      <c r="G87" s="43" t="inlineStr">
        <is>
          <t>#BMC #AST2700</t>
        </is>
      </c>
    </row>
    <row r="88">
      <c r="A88" s="43" t="n">
        <v>87</v>
      </c>
      <c r="B88" s="43" t="inlineStr">
        <is>
          <t>2025/09/30</t>
        </is>
      </c>
      <c r="C88" s="43" t="inlineStr">
        <is>
          <t>台光電</t>
        </is>
      </c>
      <c r="D88" s="46" t="n">
        <v>2383</v>
      </c>
      <c r="E88" s="43" t="inlineStr">
        <is>
          <t>美系券商</t>
        </is>
      </c>
      <c r="F88" s="44" t="inlineStr">
        <is>
          <t>• M9級CCL（Q-glass版本）將於明下半年導入。
• M9級CCL的ASP每片超過400美元對比M7的100-110美元、M8的160-180美元。
• 上修26-27年EPS至$69.7/$87.6。</t>
        </is>
      </c>
      <c r="G88" s="43" t="inlineStr">
        <is>
          <t>#CCL #M9 #Q-glass</t>
        </is>
      </c>
    </row>
    <row r="89">
      <c r="A89" s="43" t="n">
        <v>88</v>
      </c>
      <c r="B89" s="43" t="inlineStr">
        <is>
          <t>2025/09/30</t>
        </is>
      </c>
      <c r="C89" s="43" t="inlineStr">
        <is>
          <t>全新</t>
        </is>
      </c>
      <c r="D89" s="46" t="n">
        <v>2455</v>
      </c>
      <c r="E89" s="43" t="inlineStr">
        <is>
          <t>美系券商</t>
        </is>
      </c>
      <c r="F89" s="44" t="inlineStr">
        <is>
          <t>• 隨InP基板供應恢復，推動9月營收月增雙位數。
• 微電子業務營收3Q也是季增/年增雙位數。
• 預估25-27年EPS$3.3/$6.6/$8.8。</t>
        </is>
      </c>
      <c r="G89" s="43" t="inlineStr">
        <is>
          <t>#InP基板 #矽光子</t>
        </is>
      </c>
    </row>
    <row r="90">
      <c r="A90" s="43" t="n">
        <v>89</v>
      </c>
      <c r="B90" s="43" t="inlineStr">
        <is>
          <t>2025/09/26</t>
        </is>
      </c>
      <c r="C90" s="43" t="inlineStr">
        <is>
          <t>旺矽</t>
        </is>
      </c>
      <c r="D90" s="46" t="n">
        <v>6223</v>
      </c>
      <c r="E90" s="43" t="inlineStr">
        <is>
          <t>美系券商</t>
        </is>
      </c>
      <c r="F90" s="44" t="inlineStr">
        <is>
          <t>• 上修明年營收成長至4成。
• MEMS探針產能擴張，預期明年每月產能達250萬。
• 與CPO測試相關的會在明下半年開始貢獻營收。
• 預估25-27年EPS為$30.2/$61.9/$80。</t>
        </is>
      </c>
      <c r="G90" s="43" t="inlineStr">
        <is>
          <t>#MEMS探針 #CPO測試</t>
        </is>
      </c>
    </row>
    <row r="91">
      <c r="A91" s="43" t="n">
        <v>90</v>
      </c>
      <c r="B91" s="43" t="inlineStr">
        <is>
          <t>2025/09/26</t>
        </is>
      </c>
      <c r="C91" s="43" t="inlineStr">
        <is>
          <t>穎崴</t>
        </is>
      </c>
      <c r="D91" s="46" t="n">
        <v>6515</v>
      </c>
      <c r="E91" s="43" t="inlineStr">
        <is>
          <t>美系券商</t>
        </is>
      </c>
      <c r="F91" s="44" t="inlineStr">
        <is>
          <t>• 上修明年營收年增38%。
• 來自新一代hyper socket產品強勁需求。
• SLT市場市占率提升。
• 預期socket pin數量成長5-7成。
• 上修25-27年EPS至$51.4/$89.2/$130。</t>
        </is>
      </c>
      <c r="G91" s="43" t="inlineStr">
        <is>
          <t>#hyper_socket #SLT</t>
        </is>
      </c>
    </row>
    <row r="92">
      <c r="A92" s="43" t="n">
        <v>91</v>
      </c>
      <c r="B92" s="43" t="inlineStr">
        <is>
          <t>2025/09/25</t>
        </is>
      </c>
      <c r="C92" s="43" t="inlineStr">
        <is>
          <t>宏捷科</t>
        </is>
      </c>
      <c r="D92" s="46" t="n">
        <v>8086</v>
      </c>
      <c r="E92" s="43" t="inlineStr">
        <is>
          <t>亞系券商</t>
        </is>
      </c>
      <c r="F92" s="44" t="inlineStr">
        <is>
          <t>• 調升評等至正向，上修25-27年EPS至$2.7/$4.3/$5.
• 5。
• 在美系IDMs退出中國市場後，宏捷科搭著客戶在RF市占率逐步提升，打入三星手機供應鏈。</t>
        </is>
      </c>
      <c r="G92" s="43" t="inlineStr">
        <is>
          <t>#RF #GaAs #三星</t>
        </is>
      </c>
    </row>
    <row r="93">
      <c r="A93" s="43" t="n">
        <v>92</v>
      </c>
      <c r="B93" s="43" t="inlineStr">
        <is>
          <t>2025/09/25</t>
        </is>
      </c>
      <c r="C93" s="43" t="inlineStr">
        <is>
          <t>南電</t>
        </is>
      </c>
      <c r="D93" s="46" t="n">
        <v>8046</v>
      </c>
      <c r="E93" s="43" t="inlineStr">
        <is>
          <t>亞系券商</t>
        </is>
      </c>
      <c r="F93" s="44" t="inlineStr">
        <is>
          <t>• 上修25-27年EPS至$2.6/$10.9/$12.7。
• 此波循環ASP上升趨勢將類似2020-21年。
• 預期明年BT/ABF的ASP將年增+39%/+24%。</t>
        </is>
      </c>
      <c r="G93" s="43" t="inlineStr">
        <is>
          <t>#ABF #BT #ASP大漲</t>
        </is>
      </c>
    </row>
    <row r="94">
      <c r="A94" s="43" t="n">
        <v>93</v>
      </c>
      <c r="B94" s="43" t="inlineStr">
        <is>
          <t>2025/09/25</t>
        </is>
      </c>
      <c r="C94" s="43" t="inlineStr">
        <is>
          <t>技嘉</t>
        </is>
      </c>
      <c r="D94" s="46" t="n">
        <v>2376</v>
      </c>
      <c r="E94" s="43" t="inlineStr">
        <is>
          <t>美系券商</t>
        </is>
      </c>
      <c r="F94" s="44" t="inlineStr">
        <is>
          <t>• 新增Datasection、Nebius與MegaSpeed訂單。
• 預估Nebius的新GB300機櫃訂單，每100個GB200機櫃可貢獻約EPS +0.
• 35元。
• 上修27年EPS至$26.1。</t>
        </is>
      </c>
      <c r="G94" s="43" t="inlineStr">
        <is>
          <t>#GB200 #GB300 #Nebius</t>
        </is>
      </c>
    </row>
    <row r="95">
      <c r="A95" s="43" t="n">
        <v>94</v>
      </c>
      <c r="B95" s="43" t="inlineStr">
        <is>
          <t>2025/09/19</t>
        </is>
      </c>
      <c r="C95" s="43" t="inlineStr">
        <is>
          <t>環球晶</t>
        </is>
      </c>
      <c r="D95" s="46" t="n">
        <v>6488</v>
      </c>
      <c r="E95" s="43" t="inlineStr">
        <is>
          <t>美系券商</t>
        </is>
      </c>
      <c r="F95" s="44" t="inlineStr">
        <is>
          <t>• 升25-27年EPS至$21/$30/$42。
• 晶圓片有可能在4Q25或1Q26漲價。
• 關於12吋SiC，券商觀察明年小規模生產，後年量產。</t>
        </is>
      </c>
      <c r="G95" s="43" t="inlineStr">
        <is>
          <t>#矽晶圓 #漲價 #12吋SiC</t>
        </is>
      </c>
    </row>
    <row r="96">
      <c r="A96" s="43" t="n">
        <v>95</v>
      </c>
      <c r="B96" s="43" t="inlineStr">
        <is>
          <t>2025/09/19</t>
        </is>
      </c>
      <c r="C96" s="43" t="inlineStr">
        <is>
          <t>富世達</t>
        </is>
      </c>
      <c r="D96" s="46" t="n">
        <v>6805</v>
      </c>
      <c r="E96" s="43" t="inlineStr">
        <is>
          <t>美系券商</t>
        </is>
      </c>
      <c r="F96" s="44" t="inlineStr">
        <is>
          <t>• 上修25-27年EPS至$30.6/$50.5/$66.8。
• 華為推出新款三折疊智慧型手機。
• 預期全球折疊機25-27年出貨量成長65%/39%/21% YoY。</t>
        </is>
      </c>
      <c r="G96" s="43" t="inlineStr">
        <is>
          <t>#折疊機 #華為</t>
        </is>
      </c>
    </row>
    <row r="97">
      <c r="A97" s="43" t="n">
        <v>96</v>
      </c>
      <c r="B97" s="43" t="inlineStr">
        <is>
          <t>2025/09/17</t>
        </is>
      </c>
      <c r="C97" s="43" t="inlineStr">
        <is>
          <t>神達</t>
        </is>
      </c>
      <c r="D97" s="46" t="n">
        <v>3706</v>
      </c>
      <c r="E97" s="43" t="inlineStr">
        <is>
          <t>美系券商</t>
        </is>
      </c>
      <c r="F97" s="44" t="inlineStr">
        <is>
          <t>• 預期接下來一季switch產品組合將獲改善。
• 預期10月新產能開出後將獲改善。
• 上修明後年EPS至$7.2/8.5。</t>
        </is>
      </c>
      <c r="G97" s="43" t="inlineStr">
        <is>
          <t>#switch #800G</t>
        </is>
      </c>
    </row>
    <row r="98">
      <c r="A98" s="43" t="n">
        <v>97</v>
      </c>
      <c r="B98" s="43" t="inlineStr">
        <is>
          <t>2025/09/11</t>
        </is>
      </c>
      <c r="C98" s="43" t="inlineStr">
        <is>
          <t>臻鼎</t>
        </is>
      </c>
      <c r="D98" s="46" t="n">
        <v>4958</v>
      </c>
      <c r="E98" s="43" t="inlineStr">
        <is>
          <t>美系券商</t>
        </is>
      </c>
      <c r="F98" s="44" t="inlineStr">
        <is>
          <t>• 調升明後年EPS至$16.6/$24.8。
• 預估AI PCB市佔率將從2025年約0%，提升至26/27年8-12%。
• 正進行NVIDIA Rubin blackplane專案，可能50-80層甚至超過90層。</t>
        </is>
      </c>
      <c r="G98" s="43" t="inlineStr">
        <is>
          <t>#AI_PCB #Rubin #T-glass</t>
        </is>
      </c>
    </row>
    <row r="99">
      <c r="A99" s="43" t="n">
        <v>98</v>
      </c>
      <c r="B99" s="43" t="inlineStr">
        <is>
          <t>2025/09/05</t>
        </is>
      </c>
      <c r="C99" s="43" t="inlineStr">
        <is>
          <t>中興電</t>
        </is>
      </c>
      <c r="D99" s="46" t="n">
        <v>1513</v>
      </c>
      <c r="E99" s="43" t="inlineStr">
        <is>
          <t>美系券商</t>
        </is>
      </c>
      <c r="F99" s="44" t="inlineStr">
        <is>
          <t>• 首次覆蓋給予正向評等，預估25-27年EPS:$8.3/$10.
• 1/$11.6。
• 受惠台電強韌電網計畫帶動GIS系統需求，在GIS系統市場市占率達70%。</t>
        </is>
      </c>
      <c r="G99" s="43" t="inlineStr">
        <is>
          <t>#GIS系統 #台電</t>
        </is>
      </c>
    </row>
    <row r="100">
      <c r="A100" s="43" t="n">
        <v>99</v>
      </c>
      <c r="B100" s="43" t="inlineStr">
        <is>
          <t>2025/08/29</t>
        </is>
      </c>
      <c r="C100" s="43" t="inlineStr">
        <is>
          <t>上詮</t>
        </is>
      </c>
      <c r="D100" s="46" t="n">
        <v>3363</v>
      </c>
      <c r="E100" s="43" t="inlineStr">
        <is>
          <t>美系券商</t>
        </is>
      </c>
      <c r="F100" s="44" t="inlineStr">
        <is>
          <t>• Nvidia法說會後供應鏈觀察。
• 券商觀察明年上詮參與Nvidia scale-out CPO，27-28年scale-up CPO。</t>
        </is>
      </c>
      <c r="G100" s="43" t="inlineStr">
        <is>
          <t>#NVDA #CPO</t>
        </is>
      </c>
    </row>
    <row r="101">
      <c r="A101" s="44" t="n">
        <v>100</v>
      </c>
      <c r="B101" s="44" t="inlineStr">
        <is>
          <t>2025/08/28</t>
        </is>
      </c>
      <c r="C101" s="44" t="inlineStr">
        <is>
          <t>迅銷</t>
        </is>
      </c>
      <c r="D101" s="48" t="n">
        <v>9983</v>
      </c>
      <c r="E101" s="44" t="inlineStr">
        <is>
          <t>日系券商</t>
        </is>
      </c>
      <c r="F101" s="44" t="inlineStr">
        <is>
          <t>• 使用生成式AI幫助了解整體營運相關問題。
• 在各商店、產品和SKU單位層級進行詳細分析。</t>
        </is>
      </c>
      <c r="G101" s="44" t="inlineStr">
        <is>
          <t>#AI應用 #生成式AI #日股</t>
        </is>
      </c>
    </row>
    <row r="102">
      <c r="A102" s="44" t="n">
        <v>101</v>
      </c>
      <c r="B102" s="44" t="inlineStr">
        <is>
          <t>2025/08/28</t>
        </is>
      </c>
      <c r="C102" s="44" t="inlineStr">
        <is>
          <t>Recruit holdings</t>
        </is>
      </c>
      <c r="D102" s="48" t="n">
        <v>6098</v>
      </c>
      <c r="E102" s="44" t="inlineStr">
        <is>
          <t>日系券商</t>
        </is>
      </c>
      <c r="F102" s="44" t="inlineStr">
        <is>
          <t>• 將AI融入人力資源科技產品，提高匹配效率並簡化招聘流程。
• 在工作流程中使用生成式AI提高後台效率。</t>
        </is>
      </c>
      <c r="G102" s="44" t="inlineStr">
        <is>
          <t>#AI應用 #人力資源 #日股</t>
        </is>
      </c>
    </row>
    <row r="103">
      <c r="A103" s="44" t="n">
        <v>102</v>
      </c>
      <c r="B103" s="44" t="inlineStr">
        <is>
          <t>2025/08/28</t>
        </is>
      </c>
      <c r="C103" s="44" t="inlineStr">
        <is>
          <t>Secom</t>
        </is>
      </c>
      <c r="D103" s="48" t="n">
        <v>9753</v>
      </c>
      <c r="E103" s="44" t="inlineStr">
        <is>
          <t>日系券商</t>
        </is>
      </c>
      <c r="F103" s="44" t="inlineStr">
        <is>
          <t>• 專注於使用AI攝影機的監控服務。
• 利用AI影像分析減少誤報和派遣保全人員數量，降低勞動力成本。</t>
        </is>
      </c>
      <c r="G103" s="44" t="inlineStr">
        <is>
          <t>#AI應用 #監控服務 #日股</t>
        </is>
      </c>
    </row>
    <row r="104">
      <c r="A104" s="44" t="n">
        <v>103</v>
      </c>
      <c r="B104" s="44" t="inlineStr">
        <is>
          <t>2025/08/28</t>
        </is>
      </c>
      <c r="C104" s="44" t="inlineStr">
        <is>
          <t>東京威力科創</t>
        </is>
      </c>
      <c r="D104" s="48" t="n">
        <v>8035</v>
      </c>
      <c r="E104" s="44" t="inlineStr">
        <is>
          <t>日系券商</t>
        </is>
      </c>
      <c r="F104" s="44" t="inlineStr">
        <is>
          <t>• 台積電N2製程不再使用中國產SPE，可能回應美國中國EQUIP法案。
• 東京威力科創在蝕刻系統領域與中國廠商競爭。</t>
        </is>
      </c>
      <c r="G104" s="44" t="inlineStr">
        <is>
          <t>#半導體設備 #蝕刻 #日股</t>
        </is>
      </c>
    </row>
    <row r="105">
      <c r="A105" s="44" t="n">
        <v>104</v>
      </c>
      <c r="B105" s="44" t="inlineStr">
        <is>
          <t>2025/08/28</t>
        </is>
      </c>
      <c r="C105" s="44" t="inlineStr">
        <is>
          <t>SCREEN</t>
        </is>
      </c>
      <c r="D105" s="48" t="n">
        <v>7735</v>
      </c>
      <c r="E105" s="44" t="inlineStr">
        <is>
          <t>日系券商</t>
        </is>
      </c>
      <c r="F105" s="44" t="inlineStr">
        <is>
          <t>• 台積電N2製程不使用中國產SPE對SCREEN產生正面影響。
• 中國製造商在清洗系統和垂直熱處理爐技術進步對日本企業構成威脅。</t>
        </is>
      </c>
      <c r="G105" s="44" t="inlineStr">
        <is>
          <t>#半導體設備 #清洗系統 #日股</t>
        </is>
      </c>
    </row>
    <row r="106">
      <c r="A106" s="44" t="n">
        <v>105</v>
      </c>
      <c r="B106" s="44" t="inlineStr">
        <is>
          <t>2025/08/28</t>
        </is>
      </c>
      <c r="C106" s="44" t="inlineStr">
        <is>
          <t>國際電氣</t>
        </is>
      </c>
      <c r="D106" s="48" t="n">
        <v>6525</v>
      </c>
      <c r="E106" s="44" t="inlineStr">
        <is>
          <t>日系券商</t>
        </is>
      </c>
      <c r="F106" s="44" t="inlineStr">
        <is>
          <t>• 台積電N2製程不使用中國產SPE對國際電氣產生正面影響。</t>
        </is>
      </c>
      <c r="G106" s="44" t="inlineStr">
        <is>
          <t>#半導體設備 #日股</t>
        </is>
      </c>
    </row>
    <row r="107">
      <c r="A107" s="44" t="n">
        <v>106</v>
      </c>
      <c r="B107" s="44" t="inlineStr">
        <is>
          <t>2025/08/28</t>
        </is>
      </c>
      <c r="C107" s="44" t="inlineStr">
        <is>
          <t>三菱汽車</t>
        </is>
      </c>
      <c r="D107" s="48" t="n">
        <v>7211</v>
      </c>
      <c r="E107" s="44" t="inlineStr">
        <is>
          <t>美系券商</t>
        </is>
      </c>
      <c r="F107" s="44" t="inlineStr">
        <is>
          <t>• 2026財年Q3營業利潤預期從1000億降至700億日圓。
• 關稅變化帶來129億正面影響，但大部分被定價/銷售費用的117億負面影響抵消。
• 美國以外市場銷售競爭加劇帶來190億負面影響。
• 目標價從450降至420日圓，維持中性。</t>
        </is>
      </c>
      <c r="G107" s="44" t="inlineStr">
        <is>
          <t>#汽車 #關稅影響 #日股</t>
        </is>
      </c>
    </row>
    <row r="108">
      <c r="A108" s="44" t="n">
        <v>107</v>
      </c>
      <c r="B108" s="44" t="inlineStr">
        <is>
          <t>2025/08/28</t>
        </is>
      </c>
      <c r="C108" s="44" t="inlineStr">
        <is>
          <t>住友電木</t>
        </is>
      </c>
      <c r="D108" s="48" t="n">
        <v>4203</v>
      </c>
      <c r="E108" s="44" t="inlineStr">
        <is>
          <t>日系券商</t>
        </is>
      </c>
      <c r="F108" s="44" t="inlineStr">
        <is>
          <t>• 預計半導體密封膠產品至FY28三年內年銷售額成長6%，出貨量創新高。
• 醫療保健產品和薄膜片材銷售強勁成長。
• 實現10%以上營業利潤率和10% ROE前景清晰。
• 目標價從5100升至5700日圓，重申買進。</t>
        </is>
      </c>
      <c r="G108" s="44" t="inlineStr">
        <is>
          <t>#半導體材料 #醫療 #日股</t>
        </is>
      </c>
    </row>
    <row r="109">
      <c r="A109" s="44" t="n">
        <v>108</v>
      </c>
      <c r="B109" s="44" t="inlineStr">
        <is>
          <t>2025/08/27</t>
        </is>
      </c>
      <c r="C109" s="44" t="inlineStr">
        <is>
          <t>弘塑</t>
        </is>
      </c>
      <c r="D109" s="48" t="n">
        <v>3131</v>
      </c>
      <c r="E109" s="44" t="inlineStr">
        <is>
          <t>澳系券商</t>
        </is>
      </c>
      <c r="F109" s="44" t="inlineStr">
        <is>
          <t>• 澳系調升評等至Outperform，上修25-27年EPS至$41/$59.5/$69.6。
• 受惠TSMC與OSAT的CoWoS/SoIC擴張，以及WMCMM與iPhone新機需求。
• CoWoS不僅限於NVIDIA，還涵蓋ASIC與GPU v8。
• WMCMM預估明年產能擴充40-50k wpm。</t>
        </is>
      </c>
      <c r="G109" s="44" t="inlineStr">
        <is>
          <t>#CoWoS #WMCMM #先進封裝</t>
        </is>
      </c>
    </row>
    <row r="110">
      <c r="A110" s="44" t="n">
        <v>109</v>
      </c>
      <c r="B110" s="44" t="inlineStr">
        <is>
          <t>2025/08/27</t>
        </is>
      </c>
      <c r="C110" s="44" t="inlineStr">
        <is>
          <t>創意</t>
        </is>
      </c>
      <c r="D110" s="48" t="n">
        <v>3443</v>
      </c>
      <c r="E110" s="44" t="inlineStr">
        <is>
          <t>美系大行</t>
        </is>
      </c>
      <c r="F110" s="44" t="inlineStr">
        <is>
          <t>• 美系大行重申正向評等，儘管認為Meta MTIA v4/v5對獲利貢獻有限。
• MTIA v5可望在2027/2028開始認列NRE收入。
• v4參與封裝設計與TK2，現階段僅認列NRE收入。
• xAI ASIC 3nm可能在2026下半年量產。</t>
        </is>
      </c>
      <c r="G110" s="44" t="inlineStr">
        <is>
          <t>#ASIC #AI晶片設計 #Meta</t>
        </is>
      </c>
    </row>
    <row r="111">
      <c r="A111" s="44" t="n">
        <v>110</v>
      </c>
      <c r="B111" s="44" t="inlineStr">
        <is>
          <t>2025/08/26</t>
        </is>
      </c>
      <c r="C111" s="44" t="inlineStr">
        <is>
          <t>南電</t>
        </is>
      </c>
      <c r="D111" s="48" t="n">
        <v>8046</v>
      </c>
      <c r="E111" s="44" t="inlineStr">
        <is>
          <t>美系券商</t>
        </is>
      </c>
      <c r="F111" s="44" t="inlineStr">
        <is>
          <t>• 美系出具21頁報告，升評至正向評等並升目標。
• non-NVDA ABF報價預期2025Q4起每季上漲5-10%，延續到2026Q4。
• T-glass短缺將更嚴重，BT/高階ABF年底供給短缺。
• 今年27%營收來自BT，將享有50-55%曝險的漲價紅利。</t>
        </is>
      </c>
      <c r="G111" s="44" t="inlineStr">
        <is>
          <t>#ABF #BT #T-glass短缺 #漲價</t>
        </is>
      </c>
    </row>
    <row r="112">
      <c r="A112" s="44" t="n">
        <v>111</v>
      </c>
      <c r="B112" s="44" t="inlineStr">
        <is>
          <t>2025/08/26</t>
        </is>
      </c>
      <c r="C112" s="44" t="inlineStr">
        <is>
          <t>景碩</t>
        </is>
      </c>
      <c r="D112" s="48" t="n">
        <v>3189</v>
      </c>
      <c r="E112" s="44" t="inlineStr">
        <is>
          <t>美系券商</t>
        </is>
      </c>
      <c r="F112" s="44" t="inlineStr">
        <is>
          <t>• 美系升評至Neutral並升目標。
• 受惠T-glass短缺帶來的ABF/BT漲價趨勢。</t>
        </is>
      </c>
      <c r="G112" s="44" t="inlineStr">
        <is>
          <t>#ABF #BT #漲價</t>
        </is>
      </c>
    </row>
    <row r="113">
      <c r="A113" s="44" t="n">
        <v>112</v>
      </c>
      <c r="B113" s="44" t="inlineStr">
        <is>
          <t>2025/08/26</t>
        </is>
      </c>
      <c r="C113" s="44" t="inlineStr">
        <is>
          <t>臻鼎</t>
        </is>
      </c>
      <c r="D113" s="48" t="n">
        <v>4958</v>
      </c>
      <c r="E113" s="44" t="inlineStr">
        <is>
          <t>美系券商</t>
        </is>
      </c>
      <c r="F113" s="44" t="inlineStr">
        <is>
          <t>• 美系調升目標。
• BT與ABF曝險約20%，EPS與OPM有翻轉空間。</t>
        </is>
      </c>
      <c r="G113" s="44" t="inlineStr">
        <is>
          <t>#ABF #BT</t>
        </is>
      </c>
    </row>
    <row r="114">
      <c r="A114" s="44" t="n">
        <v>113</v>
      </c>
      <c r="B114" s="44" t="inlineStr">
        <is>
          <t>2025/08/26</t>
        </is>
      </c>
      <c r="C114" s="44" t="inlineStr">
        <is>
          <t>欣興</t>
        </is>
      </c>
      <c r="D114" s="48" t="n">
        <v>3037</v>
      </c>
      <c r="E114" s="44" t="inlineStr">
        <is>
          <t>美系券商</t>
        </is>
      </c>
      <c r="F114" s="44" t="inlineStr">
        <is>
          <t>• 美系調升目標。
• 受惠ABF/BT漲價趨勢。</t>
        </is>
      </c>
      <c r="G114" s="44" t="inlineStr">
        <is>
          <t>#ABF #BT</t>
        </is>
      </c>
    </row>
    <row r="115">
      <c r="A115" s="44" t="n">
        <v>114</v>
      </c>
      <c r="B115" s="44" t="inlineStr">
        <is>
          <t>2025/08/26</t>
        </is>
      </c>
      <c r="C115" s="44" t="inlineStr">
        <is>
          <t>啓碁</t>
        </is>
      </c>
      <c r="D115" s="48" t="n">
        <v>6285</v>
      </c>
      <c r="E115" s="44" t="inlineStr">
        <is>
          <t>美系券商</t>
        </is>
      </c>
      <c r="F115" s="44" t="inlineStr">
        <is>
          <t>• 預期3Q營收溫和復甦：季增2%、年增8%。
• 主要由車用業務成長與網通業務帶動。
• WiFi-7、800G switch、低軌道衛星等。</t>
        </is>
      </c>
      <c r="G115" s="44" t="inlineStr">
        <is>
          <t>#網通 #WiFi7 #800G #車用</t>
        </is>
      </c>
    </row>
    <row r="116">
      <c r="A116" s="44" t="n">
        <v>115</v>
      </c>
      <c r="B116" s="44" t="inlineStr">
        <is>
          <t>2025/08/26</t>
        </is>
      </c>
      <c r="C116" s="44" t="inlineStr">
        <is>
          <t>全新</t>
        </is>
      </c>
      <c r="D116" s="48" t="n">
        <v>2455</v>
      </c>
      <c r="E116" s="44" t="inlineStr">
        <is>
          <t>亞系券商</t>
        </is>
      </c>
      <c r="F116" s="44" t="inlineStr">
        <is>
          <t>• 調升明年EPS至$6.1，以35xPE評價。
• 從宏捷科看到微電子訂單增加，微電子今年擴產。
• 磷化銦(InP)基板漲價已常態化，需求穩定回升。</t>
        </is>
      </c>
      <c r="G116" s="44" t="inlineStr">
        <is>
          <t>#InP基板 #微電子 #漲價</t>
        </is>
      </c>
    </row>
    <row r="117">
      <c r="A117" s="44" t="n">
        <v>116</v>
      </c>
      <c r="B117" s="44" t="inlineStr">
        <is>
          <t>2025/08/20</t>
        </is>
      </c>
      <c r="C117" s="44" t="inlineStr">
        <is>
          <t>神達</t>
        </is>
      </c>
      <c r="D117" s="48" t="n">
        <v>3706</v>
      </c>
      <c r="E117" s="44" t="inlineStr">
        <is>
          <t>美系券商</t>
        </is>
      </c>
      <c r="F117" s="44" t="inlineStr">
        <is>
          <t>• 上修25-27年EPS至$5.1/$7.8/$9.1，以明年16xPE評價。
• 反應2Q result及7月營收。
• 預期AI server出貨量：2026:14k、2027:28k、2030:91k。
• 明年全球市佔率約1.4%。
• 今年資本支出57億台幣。
• 預估今年8-12月月營收平均月增8%，受惠產能逐步開出。</t>
        </is>
      </c>
      <c r="G117" s="44" t="inlineStr">
        <is>
          <t>#AI伺服器 #產能擴充</t>
        </is>
      </c>
    </row>
    <row r="118">
      <c r="A118" s="44" t="n">
        <v>117</v>
      </c>
      <c r="B118" s="44" t="inlineStr">
        <is>
          <t>2025/08/20</t>
        </is>
      </c>
      <c r="C118" s="44" t="inlineStr">
        <is>
          <t>貿聯</t>
        </is>
      </c>
      <c r="D118" s="48" t="n">
        <v>3665</v>
      </c>
      <c r="E118" s="44" t="inlineStr">
        <is>
          <t>美系大行</t>
        </is>
      </c>
      <c r="F118" s="44" t="inlineStr">
        <is>
          <t>• 上修25-27年EPS至$42.8/$52.2/$62.2，以明年23xPE評價。
• 受益AEC需求上升、規格升級（400G→800G）。
• GB系列出貨增+半導體相關業務。
• 毛利率提升，營業槓桿效益顯現。
• 潛在CPO及機器人題材。
• 預估未來兩年營收成長CAGR 36%。</t>
        </is>
      </c>
      <c r="G118" s="44" t="inlineStr">
        <is>
          <t>#AEC #800G #GB系列 #CPO</t>
        </is>
      </c>
    </row>
    <row r="119">
      <c r="A119" s="44" t="n">
        <v>118</v>
      </c>
      <c r="B119" s="44" t="inlineStr">
        <is>
          <t>2025/08/19</t>
        </is>
      </c>
      <c r="C119" s="44" t="inlineStr">
        <is>
          <t>聯亞</t>
        </is>
      </c>
      <c r="D119" s="48" t="n">
        <v>3081</v>
      </c>
      <c r="E119" s="44" t="inlineStr">
        <is>
          <t>美系券商</t>
        </is>
      </c>
      <c r="F119" s="44" t="inlineStr">
        <is>
          <t>• 上修25-27年EPS至$6.24/$10.9/$18.9，以28年28xPE評價。
• 受惠800G SiPh CW laser diodes放量+InP基板供應改善。
• 3Q營收預估季增近3成、年增120%。
• 800G/1.6T SiPh出貨比重由2024年42%升至2028年94%。
• 矽光子滲透率快速提升，2025E/2026E分別貢獻營收76%/86%。</t>
        </is>
      </c>
      <c r="G119" s="44" t="inlineStr">
        <is>
          <t>#矽光子 #800G #1.6T #InP基板</t>
        </is>
      </c>
    </row>
    <row r="120">
      <c r="A120" s="44" t="n">
        <v>119</v>
      </c>
      <c r="B120" s="44" t="inlineStr">
        <is>
          <t>2025/08/19</t>
        </is>
      </c>
      <c r="C120" s="44" t="inlineStr">
        <is>
          <t>勤誠</t>
        </is>
      </c>
      <c r="D120" s="48" t="n">
        <v>8210</v>
      </c>
      <c r="E120" s="44" t="inlineStr">
        <is>
          <t>美系券商</t>
        </is>
      </c>
      <c r="F120" s="44" t="inlineStr">
        <is>
          <t>• 上修25-27年EPS至$25.5/$39.4/$50.9，以明年20xPE評價。
• ASIC AI伺服器崛起，推升客製化需求與機殼內部零組件價值含量提升。
• 新產品線：降噪型伺服器櫃，支援高瓦數AI伺服器機房。</t>
        </is>
      </c>
      <c r="G120" s="44" t="inlineStr">
        <is>
          <t>#ASIC #AI伺服器 #機殼 #降噪</t>
        </is>
      </c>
    </row>
    <row r="121">
      <c r="A121" s="44" t="n">
        <v>120</v>
      </c>
      <c r="B121" s="44" t="inlineStr">
        <is>
          <t>2025/08/19</t>
        </is>
      </c>
      <c r="C121" s="44" t="inlineStr">
        <is>
          <t>華邦電</t>
        </is>
      </c>
      <c r="D121" s="48" t="n">
        <v>2344</v>
      </c>
      <c r="E121" s="44" t="inlineStr">
        <is>
          <t>美系大行</t>
        </is>
      </c>
      <c r="F121" s="44" t="inlineStr">
        <is>
          <t>• GigaDevice本季漲Nor報價5-10%。
• 華邦電有望4Q跟進，同時拿到市佔率。
• DDR4還在undersupply狀態。
• 重申正向評等不變。</t>
        </is>
      </c>
      <c r="G121" s="44" t="inlineStr">
        <is>
          <t>#NOR #DDR4 #漲價 #供不應求</t>
        </is>
      </c>
    </row>
    <row r="122">
      <c r="A122" s="44" t="n">
        <v>121</v>
      </c>
      <c r="B122" s="44" t="inlineStr">
        <is>
          <t>2025/08/18</t>
        </is>
      </c>
      <c r="C122" s="44" t="inlineStr">
        <is>
          <t>鴻準</t>
        </is>
      </c>
      <c r="D122" s="48" t="n">
        <v>2354</v>
      </c>
      <c r="E122" s="44" t="inlineStr">
        <is>
          <t>美系券商</t>
        </is>
      </c>
      <c r="F122" s="44" t="inlineStr">
        <is>
          <t>• 對液冷領域持正面態度，因毛利率較高。
• 計劃自今年4Q起滲透美國主要CSP。
• 對遊戲機市場保持樂觀，受惠大客戶新產品週期。</t>
        </is>
      </c>
      <c r="G122" s="44" t="inlineStr">
        <is>
          <t>#液冷 #遊戲機</t>
        </is>
      </c>
    </row>
    <row r="123">
      <c r="A123" s="44" t="n">
        <v>122</v>
      </c>
      <c r="B123" s="44" t="inlineStr">
        <is>
          <t>2025/08/18</t>
        </is>
      </c>
      <c r="C123" s="44" t="inlineStr">
        <is>
          <t>英業達</t>
        </is>
      </c>
      <c r="D123" s="48" t="n">
        <v>2356</v>
      </c>
      <c r="E123" s="44" t="inlineStr">
        <is>
          <t>美系券商</t>
        </is>
      </c>
      <c r="F123" s="44" t="inlineStr">
        <is>
          <t>• AI伺服器新平台切換期間，主機板(L6)出貨2Q增加。
• 4Q同時有GPU、ASIC伺服器。
• 預期3Q營收季減，因PC上半年提早拉貨。
• 維持中性評價不變。</t>
        </is>
      </c>
      <c r="G123" s="44" t="inlineStr">
        <is>
          <t>#AI伺服器 #主機板 #平台切換</t>
        </is>
      </c>
    </row>
    <row r="124">
      <c r="A124" s="44" t="n">
        <v>123</v>
      </c>
      <c r="B124" s="44" t="inlineStr">
        <is>
          <t>2025/08/18</t>
        </is>
      </c>
      <c r="C124" s="44" t="inlineStr">
        <is>
          <t>和碩</t>
        </is>
      </c>
      <c r="D124" s="48" t="n">
        <v>4938</v>
      </c>
      <c r="E124" s="44" t="inlineStr">
        <is>
          <t>亞系券商</t>
        </is>
      </c>
      <c r="F124" s="44" t="inlineStr">
        <is>
          <t>• 2Q不如亞系預期。
• PC市場2025下半年疲弱。
• 新業務規模（車用、AI伺服器）仍不足以推動毛利擴張。
• GB300量產要到4Q25/1Q26才可能貢獻。
• 下修至保守評等。</t>
        </is>
      </c>
      <c r="G124" s="44" t="inlineStr">
        <is>
          <t>#PC疲弱 #GB300延後</t>
        </is>
      </c>
    </row>
    <row r="125">
      <c r="A125" s="44" t="n">
        <v>124</v>
      </c>
      <c r="B125" s="44" t="inlineStr">
        <is>
          <t>2025/08/15</t>
        </is>
      </c>
      <c r="C125" s="44" t="inlineStr">
        <is>
          <t>台燿</t>
        </is>
      </c>
      <c r="D125" s="48" t="n">
        <v>6274</v>
      </c>
      <c r="E125" s="44" t="inlineStr">
        <is>
          <t>美系券商</t>
        </is>
      </c>
      <c r="F125" s="44" t="inlineStr">
        <is>
          <t>• ASIC server營收佔比逐步上升。
• 與CSPs進行多項研發/打樣專案，M8等級CCL產品品質改善。
• 800G switch 4Q通過一家認證。
• 泰國廠7月投產稼動率3成，8-9月攀高至50-67%，年底滿載。
• 泰國廠毛利率/OPM明年2Q新產能完全到位後將與公司平均水準一致。
• 泰國廠目前M6 for低軌道衛星，未來數季可能升級至M7/M8。
• 券商對明年2H的M9深具信心。</t>
        </is>
      </c>
      <c r="G125" s="44" t="inlineStr">
        <is>
          <t>#ASIC #M8 #M9 #泰國廠 #800G</t>
        </is>
      </c>
    </row>
    <row r="126">
      <c r="A126" s="44" t="n">
        <v>125</v>
      </c>
      <c r="B126" s="44" t="inlineStr">
        <is>
          <t>2025/08/15</t>
        </is>
      </c>
      <c r="C126" s="44" t="inlineStr">
        <is>
          <t>富世達</t>
        </is>
      </c>
      <c r="D126" s="48" t="n">
        <v>6805</v>
      </c>
      <c r="E126" s="44" t="inlineStr">
        <is>
          <t>美系券商</t>
        </is>
      </c>
      <c r="F126" s="44" t="inlineStr">
        <is>
          <t>• 上修25-26年EPS至$29.3/$49。
• 上修3Q預估營收季增34%、年增77%，毛利率升至26%。
• 動能來自伺服器滑軌、GB200的QD、GB300的NVQD、3款新摺疊機。
• 明年更多ASIC QD專案推動：AWS及Meta等。
• 伺服器用QD市場營收貢獻持續擴大。</t>
        </is>
      </c>
      <c r="G126" s="44" t="inlineStr">
        <is>
          <t>#滑軌 #QD #GB200 #GB300 #ASIC</t>
        </is>
      </c>
    </row>
    <row r="127">
      <c r="A127" s="44" t="n">
        <v>126</v>
      </c>
      <c r="B127" s="44" t="inlineStr">
        <is>
          <t>2025/08/15</t>
        </is>
      </c>
      <c r="C127" s="44" t="inlineStr">
        <is>
          <t>鴻海</t>
        </is>
      </c>
      <c r="D127" s="48" t="n">
        <v>2317</v>
      </c>
      <c r="E127" s="44" t="inlineStr">
        <is>
          <t>美系券商</t>
        </is>
      </c>
      <c r="F127" s="44" t="inlineStr">
        <is>
          <t>• 2Q毛利率/OPM皆優於預估。
• AI server下半年營收佔比逐步放大。
• 預估3Q AI伺服器營收年增170%。
• 上修25-27年EPS至$14/$15.9/$18，以明年16xPE評價。</t>
        </is>
      </c>
      <c r="G127" s="44" t="inlineStr">
        <is>
          <t>#AI伺服器 #毛利率提升</t>
        </is>
      </c>
    </row>
    <row r="128">
      <c r="A128" s="44" t="n">
        <v>127</v>
      </c>
      <c r="B128" s="44" t="inlineStr">
        <is>
          <t>2025/08/15</t>
        </is>
      </c>
      <c r="C128" s="44" t="inlineStr">
        <is>
          <t>群聯</t>
        </is>
      </c>
      <c r="D128" s="48" t="n">
        <v>8299</v>
      </c>
      <c r="E128" s="44" t="inlineStr">
        <is>
          <t>美系大行</t>
        </is>
      </c>
      <c r="F128" s="44" t="inlineStr">
        <is>
          <t>• 2Q OPM 13.1%創歷史新高，儘管遇匯率逆風。
• 展望下半年匯率穩定、報價調漲。
• Nintendo Switch 2、行動/PC OEM、汽車、eSSD等需求穩。
• 明年NAND位元供給年增率僅10-15%，低於歷史平均30%。
• 結構處於供不應求。</t>
        </is>
      </c>
      <c r="G128" s="44" t="inlineStr">
        <is>
          <t>#NAND #供不應求 #漲價 #Switch2</t>
        </is>
      </c>
    </row>
    <row r="129">
      <c r="A129" s="44" t="n">
        <v>128</v>
      </c>
      <c r="B129" s="44" t="inlineStr">
        <is>
          <t>2025/08/15</t>
        </is>
      </c>
      <c r="C129" s="44" t="inlineStr">
        <is>
          <t>矽力KY</t>
        </is>
      </c>
      <c r="D129" s="48" t="n">
        <v>6415</v>
      </c>
      <c r="E129" s="44" t="inlineStr">
        <is>
          <t>美系大行</t>
        </is>
      </c>
      <c r="F129" s="44" t="inlineStr">
        <is>
          <t>• 下修獲利預估及目標，評等維持OW。
• 類比IC產業循環已觸底，開始看到回溫跡象。
• 德儀所有終端市場庫存水位仍維持低檔。
• 德儀近期對主要客戶漲價6-7%。
• 矽力杰可藉此在pin-to-pin sockets獲取市佔率。</t>
        </is>
      </c>
      <c r="G129" s="44" t="inlineStr">
        <is>
          <t>#類比IC #觸底 #市佔率提升</t>
        </is>
      </c>
    </row>
    <row r="130">
      <c r="A130" s="44" t="n">
        <v>129</v>
      </c>
      <c r="B130" s="44" t="inlineStr">
        <is>
          <t>2025/08/14</t>
        </is>
      </c>
      <c r="C130" s="44" t="inlineStr">
        <is>
          <t>奇鋐</t>
        </is>
      </c>
      <c r="D130" s="48" t="n">
        <v>3017</v>
      </c>
      <c r="E130" s="44" t="inlineStr">
        <is>
          <t>美系大行</t>
        </is>
      </c>
      <c r="F130" s="44" t="inlineStr">
        <is>
          <t>• 上修25-27年EPS至$43.5/$58.7/$74.3，以明年22xPE評價。
• 2Q毛利率/OPM受匯率影響但符合預期。
• 已不再僅是散熱零組件廠商，機殼2Q佔營收達17%、營收年增134%。
• 機殼產品線從1U/4U/8U擴展至42U/48U/SOU伺服器機架。
• 推出具降噪功能客製化機架，預計4Q25進入量產。
• 散熱與機構件整合優化整機散熱效能。</t>
        </is>
      </c>
      <c r="G130" s="44" t="inlineStr">
        <is>
          <t>#散熱 #機殼 #伺服器機架 #降噪</t>
        </is>
      </c>
    </row>
    <row r="131">
      <c r="A131" s="44" t="n">
        <v>130</v>
      </c>
      <c r="B131" s="44" t="inlineStr">
        <is>
          <t>2025/08/14</t>
        </is>
      </c>
      <c r="C131" s="44" t="inlineStr">
        <is>
          <t>台燿</t>
        </is>
      </c>
      <c r="D131" s="48" t="n">
        <v>6274</v>
      </c>
      <c r="E131" s="44" t="inlineStr">
        <is>
          <t>亞系美系券商</t>
        </is>
      </c>
      <c r="F131" s="44" t="inlineStr">
        <is>
          <t>• 2Q受匯率及泰國廠初期建廠影響，毛利率/OPM不如預期。
• 董事會宣布泰國額外資本支出及發行可轉債。
• 泰國一期7月投產，總產能每月30萬片。
• 泰國仍有空間興建新廠，可額外增加每月100-120萬片產能（約現有產能50-60%）。
• 亞系上修3Q營收季增18%，毛利率回升至23.4%。
• 最新預估25-27年EPS:$11.9/$18.2/$22.2，以明年18xPE評價。</t>
        </is>
      </c>
      <c r="G131" s="44" t="inlineStr">
        <is>
          <t>#泰國擴廠 #產能擴充 #M7 #M8</t>
        </is>
      </c>
    </row>
    <row r="132">
      <c r="A132" s="44" t="n">
        <v>131</v>
      </c>
      <c r="B132" s="44" t="inlineStr">
        <is>
          <t>2025/08/14</t>
        </is>
      </c>
      <c r="C132" s="44" t="inlineStr">
        <is>
          <t>華碩</t>
        </is>
      </c>
      <c r="D132" s="48" t="n">
        <v>2357</v>
      </c>
      <c r="E132" s="44" t="inlineStr">
        <is>
          <t>亞系歐系券商</t>
        </is>
      </c>
      <c r="F132" s="44" t="inlineStr">
        <is>
          <t>• 上半年提早拉貨，顯卡下半年轉趨溫和成長。
• 非PC增長動能有限。
• AI伺服器仍處於利潤率較低的次規模階段。
• 未來幾季可能繼續壓低整體公司毛利率。</t>
        </is>
      </c>
      <c r="G132" s="44" t="inlineStr">
        <is>
          <t>#PC拉貨 #毛利率壓力</t>
        </is>
      </c>
    </row>
    <row r="133">
      <c r="A133" s="44" t="n">
        <v>132</v>
      </c>
      <c r="B133" s="44" t="inlineStr">
        <is>
          <t>2025/08/13</t>
        </is>
      </c>
      <c r="C133" s="44" t="inlineStr">
        <is>
          <t>臻鼎</t>
        </is>
      </c>
      <c r="D133" s="48" t="n">
        <v>4958</v>
      </c>
      <c r="E133" s="44" t="inlineStr">
        <is>
          <t>美系券商</t>
        </is>
      </c>
      <c r="F133" s="44" t="inlineStr">
        <is>
          <t>• 上修25-27年EPS至$9.3/$14.6/$20.8。
• 2Q毛利率/OPM優於預期，因消費性提前備貨帶動產能利用率提升。
• 預期3Q營收季增34%、4Q 18%。
• 手機進入旺季、AI伺服器PCB/HPC板需求上升（4Q25起放量）。
• 未來可能進入液冷產品(HLC)、ABF/BT載板報價改善。
• 高階產能持續擴張：先進規格可達120mm*140mm*28層。
• 伺服器相關毛利率30-35%。</t>
        </is>
      </c>
      <c r="G133" s="44" t="inlineStr">
        <is>
          <t>#AI伺服器PCB #液冷 #ABF #BT</t>
        </is>
      </c>
    </row>
    <row r="134">
      <c r="A134" s="44" t="n">
        <v>133</v>
      </c>
      <c r="B134" s="44" t="inlineStr">
        <is>
          <t>2025/08/13</t>
        </is>
      </c>
      <c r="C134" s="44" t="inlineStr">
        <is>
          <t>京元電</t>
        </is>
      </c>
      <c r="D134" s="48" t="n">
        <v>2449</v>
      </c>
      <c r="E134" s="44" t="inlineStr">
        <is>
          <t>美系大行</t>
        </is>
      </c>
      <c r="F134" s="44" t="inlineStr">
        <is>
          <t>• ASIC客戶開始導入burn-in測試，2026年ASIC測試營收成長超越XPU。
• 2Q AI GPU測試營收年增超過3成。
• 預期3Q這塊業務營收季增3成，帶動總營收季增8%。
• 新增資本支出50%用於ASIC相關測試設備。
• 報價調漲以反映成本上升，預期明年OPM上升1-2個百分點。
• 市佔率穩固且上升中，測試交期由年初6個月縮短至不到6個月。</t>
        </is>
      </c>
      <c r="G134" s="44" t="inlineStr">
        <is>
          <t>#ASIC測試 #burn-in #漲價 #市佔提升</t>
        </is>
      </c>
    </row>
    <row r="135">
      <c r="A135" s="44" t="n">
        <v>134</v>
      </c>
      <c r="B135" s="44" t="inlineStr">
        <is>
          <t>2025/08/13</t>
        </is>
      </c>
      <c r="C135" s="44" t="inlineStr">
        <is>
          <t>鴻準</t>
        </is>
      </c>
      <c r="D135" s="48" t="n">
        <v>2354</v>
      </c>
      <c r="E135" s="44" t="inlineStr">
        <is>
          <t>美系大行</t>
        </is>
      </c>
      <c r="F135" s="44" t="inlineStr">
        <is>
          <t>• 維持UW評等，下修25-27年EPS至$2.9/3.6/$3.7，以明年15xPE評價但升目標。
• GB200/300伺服器冷板模組與歧管3Q25開始出貨。
• 4Q25產值可達1億美元（佔營收約10%）。
• 水冷專案毛利率低於同業（～20% vs 30-40%）。
• 2Q毛利率創2004年來新低。
• 預期今年遊戲機出貨2400萬台，Switch 2延後至2026年。</t>
        </is>
      </c>
      <c r="G135" s="44" t="inlineStr">
        <is>
          <t>#水冷 #GB200 #遊戲機 #Switch2延後</t>
        </is>
      </c>
    </row>
    <row r="136">
      <c r="A136" s="44" t="n">
        <v>135</v>
      </c>
      <c r="B136" s="44" t="inlineStr">
        <is>
          <t>2025/08/13</t>
        </is>
      </c>
      <c r="C136" s="44" t="inlineStr">
        <is>
          <t>廣達</t>
        </is>
      </c>
      <c r="D136" s="48" t="n">
        <v>2382</v>
      </c>
      <c r="E136" s="44" t="inlineStr">
        <is>
          <t>美系大行</t>
        </is>
      </c>
      <c r="F136" s="44" t="inlineStr">
        <is>
          <t>• 2Q EPS、毛利率優於預期，OPM符合預期。
• AI伺服器3Q持續成長，但短期有產品轉換現象，部分客戶等GB300。
• NB:預估3Q出貨低個位數成長，4Q傳統淡季。</t>
        </is>
      </c>
      <c r="G136" s="44" t="inlineStr">
        <is>
          <t>#AI伺服器 #GB300 #產品轉換</t>
        </is>
      </c>
    </row>
    <row r="137">
      <c r="A137" s="44" t="n">
        <v>136</v>
      </c>
      <c r="B137" s="44" t="inlineStr">
        <is>
          <t>2025/08/13</t>
        </is>
      </c>
      <c r="C137" s="44" t="inlineStr">
        <is>
          <t>緯創</t>
        </is>
      </c>
      <c r="D137" s="48" t="n">
        <v>3231</v>
      </c>
      <c r="E137" s="44" t="inlineStr">
        <is>
          <t>美系券商</t>
        </is>
      </c>
      <c r="F137" s="44" t="inlineStr">
        <is>
          <t>• NB先前預估季減-8%，現上修為季增+2%（低個位數YoY增長）。
• AI伺服器：3Q機架出貨季持平約1.9k rack equivalent。
• 4Q預計季增21%至2.3k racks。</t>
        </is>
      </c>
      <c r="G137" s="44" t="inlineStr">
        <is>
          <t>#AI伺服器 #NB上修</t>
        </is>
      </c>
    </row>
    <row r="138">
      <c r="A138" s="44" t="n">
        <v>137</v>
      </c>
      <c r="B138" s="44" t="inlineStr">
        <is>
          <t>2025/08/13</t>
        </is>
      </c>
      <c r="C138" s="44" t="inlineStr">
        <is>
          <t>英業達</t>
        </is>
      </c>
      <c r="D138" s="48" t="n">
        <v>2356</v>
      </c>
      <c r="E138" s="44" t="inlineStr">
        <is>
          <t>澳系券商</t>
        </is>
      </c>
      <c r="F138" s="44" t="inlineStr">
        <is>
          <t>• 2Q毛利率低於市場共識，但符合公司預期下修後範圍。
• 2Q伺服器營收季下滑，因產品組合從高ASP機櫃轉向低ASP機櫃。
• 毛利率可能因此改善。
• 3Q: NB出貨季減，4Q可能再下。
• 伺服器營收3Q季減，4Q可望持平。</t>
        </is>
      </c>
      <c r="G138" s="44" t="inlineStr">
        <is>
          <t>#產品組合轉換 #ASP下降</t>
        </is>
      </c>
    </row>
    <row r="139">
      <c r="A139" s="44" t="n">
        <v>138</v>
      </c>
      <c r="B139" s="44" t="inlineStr">
        <is>
          <t>2025/08/13</t>
        </is>
      </c>
      <c r="C139" s="44" t="inlineStr">
        <is>
          <t>仁寶</t>
        </is>
      </c>
      <c r="D139" s="48" t="n">
        <v>2324</v>
      </c>
      <c r="E139" s="44" t="inlineStr">
        <is>
          <t>亞系券商</t>
        </is>
      </c>
      <c r="F139" s="44" t="inlineStr">
        <is>
          <t>• 2Q毛利率優於預期。
• 2Q25 Chromebook拉貨潮不足以抵消PC市佔下滑。
• 3Q預期NB出貨量年增約低個位數。</t>
        </is>
      </c>
      <c r="G139" s="44" t="inlineStr">
        <is>
          <t>#NB #Chromebook #市佔下滑</t>
        </is>
      </c>
    </row>
    <row r="140">
      <c r="A140" s="44" t="n">
        <v>139</v>
      </c>
      <c r="B140" s="44" t="inlineStr">
        <is>
          <t>2025/08/12</t>
        </is>
      </c>
      <c r="C140" s="44" t="inlineStr">
        <is>
          <t>緯穎</t>
        </is>
      </c>
      <c r="D140" s="48" t="n">
        <v>6669</v>
      </c>
      <c r="E140" s="44" t="inlineStr">
        <is>
          <t>美系券商</t>
        </is>
      </c>
      <c r="F140" s="44" t="inlineStr">
        <is>
          <t>• 上修25-27年EPS至$210.7/$217/$243，以明年22xPE評價。
• 預期3Q營收持續受ASIC server支撐，有望達成年增127%、季增1%。
• 預估3Q毛利率8.1%高於之前預估。</t>
        </is>
      </c>
      <c r="G140" s="44" t="inlineStr">
        <is>
          <t>#ASIC伺服器 #毛利率提升</t>
        </is>
      </c>
    </row>
    <row r="141">
      <c r="A141" s="44" t="n">
        <v>140</v>
      </c>
      <c r="B141" s="44" t="inlineStr">
        <is>
          <t>2025/08/12</t>
        </is>
      </c>
      <c r="C141" s="44" t="inlineStr">
        <is>
          <t>新日興</t>
        </is>
      </c>
      <c r="D141" s="48" t="n">
        <v>3376</v>
      </c>
      <c r="E141" s="44" t="inlineStr">
        <is>
          <t>美系券商</t>
        </is>
      </c>
      <c r="F141" s="44" t="inlineStr">
        <is>
          <t>• 維持正向評等，儘管預期8-10月營收翻揚，蘇州新廠明年投產。
• 考量2Q miss、七月營收不如預期，下調財務模型。
• 最新預估25-27年EPS為$4.4/$11/$15.7，以明年27.8xPE評價。</t>
        </is>
      </c>
      <c r="G141" s="44" t="inlineStr">
        <is>
          <t>#蘇州新廠 #營收低於預期</t>
        </is>
      </c>
    </row>
    <row r="142">
      <c r="A142" s="44" t="n">
        <v>141</v>
      </c>
      <c r="B142" s="44" t="inlineStr">
        <is>
          <t>2025/08/12</t>
        </is>
      </c>
      <c r="C142" s="44" t="inlineStr">
        <is>
          <t>嘉澤</t>
        </is>
      </c>
      <c r="D142" s="48" t="n">
        <v>3533</v>
      </c>
      <c r="E142" s="44" t="inlineStr">
        <is>
          <t>美系大行</t>
        </is>
      </c>
      <c r="F142" s="44" t="inlineStr">
        <is>
          <t>• 2Q毛利率不如預期、業外匯損高於預估。
• AI伺服器相關如NVQD and SOCAMM，預期年底開始貢獻營收。
• 評等維持EW，持穩觀察中。</t>
        </is>
      </c>
      <c r="G142" s="44" t="inlineStr">
        <is>
          <t>#NVQD #SOCAMM #觀察中</t>
        </is>
      </c>
    </row>
    <row r="143">
      <c r="A143" s="44" t="n">
        <v>142</v>
      </c>
      <c r="B143" s="44" t="inlineStr">
        <is>
          <t>2025/08/11</t>
        </is>
      </c>
      <c r="C143" s="44" t="inlineStr">
        <is>
          <t>京元電</t>
        </is>
      </c>
      <c r="D143" s="48" t="n">
        <v>2449</v>
      </c>
      <c r="E143" s="44" t="inlineStr">
        <is>
          <t>美系大行</t>
        </is>
      </c>
      <c r="F143" s="44" t="inlineStr">
        <is>
          <t>• 上修25-27年EPS至$8.6/$8.9/$10.6，以明年17.7xPE評價。
• 2Q result優於預期，毛利率35.5%優於預期。
• 稼動率提升，不僅AI也包括消費性顯卡及手機。
• 3Q營收成長7-9%優於預期，4Q也成長。
• XPU最後測試階段3Q25復甦，速度達800-900秒。
• 在B系列有8成市佔，也是R系列主要合作夥伴。
• 增加資本支出，現增稀釋6.5%，但預期明年營收成長3成，高於市場共識15-20%。</t>
        </is>
      </c>
      <c r="G143" s="44" t="inlineStr">
        <is>
          <t>#測試 #XPU #B系列 #R系列 #市佔8成</t>
        </is>
      </c>
    </row>
    <row r="144">
      <c r="A144" s="44" t="n">
        <v>143</v>
      </c>
      <c r="B144" s="44" t="inlineStr">
        <is>
          <t>2025/08/11</t>
        </is>
      </c>
      <c r="C144" s="44" t="inlineStr">
        <is>
          <t>金像電</t>
        </is>
      </c>
      <c r="D144" s="48" t="n">
        <v>2368</v>
      </c>
      <c r="E144" s="44" t="inlineStr">
        <is>
          <t>美系券商</t>
        </is>
      </c>
      <c r="F144" s="44" t="inlineStr">
        <is>
          <t>• 三家美系券商都調升目標，重點圍繞7月營收優於預期及泰國擴廠進度。
• 上修3Q營收季增22%。
• 泰國二期產能擴充2026下半年投產，額外帶來約新台幣10億元/月營收。
• 不排除還有上修可能。
• 上修25-27年EPS至$19/$27/$34.5，以明年17.8xPE評價。</t>
        </is>
      </c>
      <c r="G144" s="44" t="inlineStr">
        <is>
          <t>#泰國二期 #產能擴充</t>
        </is>
      </c>
    </row>
    <row r="145">
      <c r="A145" s="44" t="n">
        <v>144</v>
      </c>
      <c r="B145" s="44" t="inlineStr">
        <is>
          <t>2025/08/11</t>
        </is>
      </c>
      <c r="C145" s="44" t="inlineStr">
        <is>
          <t>台達電</t>
        </is>
      </c>
      <c r="D145" s="48" t="n">
        <v>2308</v>
      </c>
      <c r="E145" s="44" t="inlineStr">
        <is>
          <t>美系券商</t>
        </is>
      </c>
      <c r="F145" s="44" t="inlineStr">
        <is>
          <t>• 7月營收歷史新高且優於預期，維持3Q季增10%預估。
• 另家美系上修今明年至$20.8/$24.6，以後年23xPE評價。
• 伺服器電源與液冷滲透率提升（L2L與HVDC採用）。
• 2025-27年營收CAGR可達20%。</t>
        </is>
      </c>
      <c r="G145" s="44" t="inlineStr">
        <is>
          <t>#電源 #液冷 #L2L #HVDC</t>
        </is>
      </c>
    </row>
    <row r="146">
      <c r="A146" s="44" t="n">
        <v>145</v>
      </c>
      <c r="B146" s="44" t="inlineStr">
        <is>
          <t>2025/08/11</t>
        </is>
      </c>
      <c r="C146" s="44" t="inlineStr">
        <is>
          <t>緯穎</t>
        </is>
      </c>
      <c r="D146" s="48" t="n">
        <v>6669</v>
      </c>
      <c r="E146" s="44" t="inlineStr">
        <is>
          <t>美系大行</t>
        </is>
      </c>
      <c r="F146" s="44" t="inlineStr">
        <is>
          <t>• 預估AI佔2Q營收達4成。
• 2Q毛利率/OPM/EPS皆優於預期。
• 下半年持續收益ASIC及GPU伺服器出貨增。
• 已在Vera Rubin機櫃佈局。</t>
        </is>
      </c>
      <c r="G146" s="44" t="inlineStr">
        <is>
          <t>#ASIC #GPU #Vera_Rubin</t>
        </is>
      </c>
    </row>
    <row r="147">
      <c r="A147" s="44" t="n">
        <v>146</v>
      </c>
      <c r="B147" s="44" t="inlineStr">
        <is>
          <t>2025/08/11</t>
        </is>
      </c>
      <c r="C147" s="44" t="inlineStr">
        <is>
          <t>微星</t>
        </is>
      </c>
      <c r="D147" s="48" t="n">
        <v>2377</v>
      </c>
      <c r="E147" s="44" t="inlineStr">
        <is>
          <t>亞系券商</t>
        </is>
      </c>
      <c r="F147" s="44" t="inlineStr">
        <is>
          <t>• 2Q result被匯率影響，不如預期。
• 預估3Q主機板及VGA季減，因2Q高基期。
• 下修今明年EPS，同步下調目標。</t>
        </is>
      </c>
      <c r="G147" s="44" t="inlineStr">
        <is>
          <t>#匯率影響 #高基期</t>
        </is>
      </c>
    </row>
    <row r="148">
      <c r="A148" s="44" t="n">
        <v>147</v>
      </c>
      <c r="B148" s="44" t="inlineStr">
        <is>
          <t>2025/08/08</t>
        </is>
      </c>
      <c r="C148" s="44" t="inlineStr">
        <is>
          <t>智邦</t>
        </is>
      </c>
      <c r="D148" s="48" t="n">
        <v>2345</v>
      </c>
      <c r="E148" s="44" t="inlineStr">
        <is>
          <t>美系券商</t>
        </is>
      </c>
      <c r="F148" s="44" t="inlineStr">
        <is>
          <t>• 2Q毛利率符合預期，OPM優於預期，因成本管控得宜。
• 預期3Q營收季增個位數。
• 預期4Q更多800G switch被採用，伴隨ASP提升。
• 上修25-27年EPS至$40.3/$49.3/$54.2，以明年25xPE評價。</t>
        </is>
      </c>
      <c r="G148" s="44" t="inlineStr">
        <is>
          <t>#800G #ASP提升 #成本管控</t>
        </is>
      </c>
    </row>
    <row r="149">
      <c r="A149" s="44" t="n">
        <v>148</v>
      </c>
      <c r="B149" s="44" t="inlineStr">
        <is>
          <t>2025/08/08</t>
        </is>
      </c>
      <c r="C149" s="44" t="inlineStr">
        <is>
          <t>奇鋐</t>
        </is>
      </c>
      <c r="D149" s="48" t="n">
        <v>3017</v>
      </c>
      <c r="E149" s="44" t="inlineStr">
        <is>
          <t>美系大行</t>
        </is>
      </c>
      <c r="F149" s="44" t="inlineStr">
        <is>
          <t>• 七月營收年增9成，達成QTD 36%，優於預期。
• 搞不好3Q營收有望上修至季增20%，只要8-9月營收月增率持平。
• 重申正向評等不變。</t>
        </is>
      </c>
      <c r="G149" s="44" t="inlineStr">
        <is>
          <t>#營收年增90% #超預期</t>
        </is>
      </c>
    </row>
    <row r="150">
      <c r="A150" s="44" t="n">
        <v>149</v>
      </c>
      <c r="B150" s="44" t="inlineStr">
        <is>
          <t>2025/08/08</t>
        </is>
      </c>
      <c r="C150" s="44" t="inlineStr">
        <is>
          <t>元太</t>
        </is>
      </c>
      <c r="D150" s="48" t="n">
        <v>8069</v>
      </c>
      <c r="E150" s="44" t="inlineStr">
        <is>
          <t>美系大行</t>
        </is>
      </c>
      <c r="F150" s="44" t="inlineStr">
        <is>
          <t>• 關稅議題已反應在股價，2Q有提早拉貨現象。
• 毛利率因產品組合轉佳升至55.8%。
• VisionGroup加速推進部署計畫、Amazon推出更多彩色閱讀器。
• e-paper需求穩健，市占率有望提升，ESL持續成長。
• 上修今明年至$9.97/$12.17，明年維持14.27，評等升至OW。</t>
        </is>
      </c>
      <c r="G150" s="44" t="inlineStr">
        <is>
          <t>#e-paper #ESL #Amazon #彩色閱讀器</t>
        </is>
      </c>
    </row>
    <row r="151">
      <c r="A151" s="44" t="n">
        <v>150</v>
      </c>
      <c r="B151" s="44" t="inlineStr">
        <is>
          <t>2025/08/08</t>
        </is>
      </c>
      <c r="C151" s="44" t="inlineStr">
        <is>
          <t>勤誠</t>
        </is>
      </c>
      <c r="D151" s="48" t="n">
        <v>8210</v>
      </c>
      <c r="E151" s="44" t="inlineStr">
        <is>
          <t>美系大行</t>
        </is>
      </c>
      <c r="F151" s="44" t="inlineStr">
        <is>
          <t>• 2Q毛利率優於預期。
• 預估3Q營收季持平，下半年營收優於上半年。
• 毛利率受匯率影響。
• 上修25-27年EPS至$26.5/$33.3/$38.3，重申正向評等。</t>
        </is>
      </c>
      <c r="G151" s="44" t="inlineStr">
        <is>
          <t>#毛利率優於預期 #匯率影響</t>
        </is>
      </c>
    </row>
    <row r="152">
      <c r="A152" s="44" t="n">
        <v>151</v>
      </c>
      <c r="B152" s="44" t="inlineStr">
        <is>
          <t>2025/08/07</t>
        </is>
      </c>
      <c r="C152" s="44" t="inlineStr">
        <is>
          <t>南電</t>
        </is>
      </c>
      <c r="D152" s="48" t="n">
        <v>8046</v>
      </c>
      <c r="E152" s="44" t="inlineStr">
        <is>
          <t>美系券商</t>
        </is>
      </c>
      <c r="F152" s="44" t="inlineStr">
        <is>
          <t>• 調升評等至Neutral，最新預估25-27年EPS為$1.9/$6.9/$10.4，以明年25xPE或2.3x BVPS評價。
• 3Q：BT已漲價，PCB旺季，預期毛利率升至12.6%，QoQ增幅約+11%。
• 4Q預期ABF也會漲價，因T-glass供給短缺。
• 最壞時間已過，故調升評等。</t>
        </is>
      </c>
      <c r="G152" s="44" t="inlineStr">
        <is>
          <t>#BT漲價 #ABF #毛利率提升 #最壞已過</t>
        </is>
      </c>
    </row>
    <row r="153">
      <c r="A153" s="44" t="n">
        <v>152</v>
      </c>
      <c r="B153" s="44" t="inlineStr">
        <is>
          <t>2025/08/07</t>
        </is>
      </c>
      <c r="C153" s="44" t="inlineStr">
        <is>
          <t>勤誠</t>
        </is>
      </c>
      <c r="D153" s="48" t="n">
        <v>8210</v>
      </c>
      <c r="E153" s="44" t="inlineStr">
        <is>
          <t>美系大行</t>
        </is>
      </c>
      <c r="F153" s="44" t="inlineStr">
        <is>
          <t>• 7月營收達成QTD 32%，表現符合預期。
• AI伺服器帶動質與量的增長。
• 重申正向評等不變。</t>
        </is>
      </c>
      <c r="G153" s="44" t="inlineStr">
        <is>
          <t>#AI伺服器 #營收符合預期</t>
        </is>
      </c>
    </row>
    <row r="154">
      <c r="A154" s="44" t="n">
        <v>153</v>
      </c>
      <c r="B154" s="44" t="inlineStr">
        <is>
          <t>2025/08/07</t>
        </is>
      </c>
      <c r="C154" s="44" t="inlineStr">
        <is>
          <t>川湖</t>
        </is>
      </c>
      <c r="D154" s="48" t="n">
        <v>2059</v>
      </c>
      <c r="E154" s="44" t="inlineStr">
        <is>
          <t>美系大行</t>
        </is>
      </c>
      <c r="F154" s="44" t="inlineStr">
        <is>
          <t>• 匯率因素不影響2Q毛利率創高達77.5%。
• 7月營收達成QTD 31%，表現符合預期。
• 重申正向評等不變。</t>
        </is>
      </c>
      <c r="G154" s="44" t="inlineStr">
        <is>
          <t>#毛利率77.5% #歷史新高</t>
        </is>
      </c>
    </row>
    <row r="155">
      <c r="A155" s="44" t="n">
        <v>154</v>
      </c>
      <c r="B155" s="44" t="inlineStr">
        <is>
          <t>2025/08/07</t>
        </is>
      </c>
      <c r="C155" s="44" t="inlineStr">
        <is>
          <t>聯詠</t>
        </is>
      </c>
      <c r="D155" s="48" t="n">
        <v>3034</v>
      </c>
      <c r="E155" s="44" t="inlineStr">
        <is>
          <t>美系券商</t>
        </is>
      </c>
      <c r="F155" s="44" t="inlineStr">
        <is>
          <t>• 澳系評2Q不如預期，3Q展望失望。
• 預期3Q25動能遜於過往季節性。
• 美系認為匯率因素持續影響3Q，儘管預期OLED DDI需求不錯。
• 下修25-27年EPS至$25.3/$27.3/$35。</t>
        </is>
      </c>
      <c r="G155" s="44" t="inlineStr">
        <is>
          <t>#匯率影響 #3Q展望弱</t>
        </is>
      </c>
    </row>
    <row r="156">
      <c r="A156" s="44" t="n">
        <v>155</v>
      </c>
      <c r="B156" s="44" t="inlineStr">
        <is>
          <t>2025/08/07</t>
        </is>
      </c>
      <c r="C156" s="44" t="inlineStr">
        <is>
          <t>華邦電</t>
        </is>
      </c>
      <c r="D156" s="48" t="n">
        <v>2344</v>
      </c>
      <c r="E156" s="44" t="inlineStr">
        <is>
          <t>美系大行</t>
        </is>
      </c>
      <c r="F156" s="44" t="inlineStr">
        <is>
          <t>• 重申正向評等，並給top pick。
• DDR3和DDR4價格預計從3Q25開始反彈，延續至2026年。
• 45nm NOR Flash需求仍強、SLC NAND 2H25價格有望上漲。
• CUBE預期自2H26開始貢獻營收，2028年佔CMS營收40-50%。</t>
        </is>
      </c>
      <c r="G156" s="44" t="inlineStr">
        <is>
          <t>#DDR3 #DDR4 #NOR #CUBE #top_pick</t>
        </is>
      </c>
    </row>
    <row r="157">
      <c r="A157" s="44" t="n">
        <v>156</v>
      </c>
      <c r="B157" s="44" t="inlineStr">
        <is>
          <t>2025/08/05</t>
        </is>
      </c>
      <c r="C157" s="44" t="inlineStr">
        <is>
          <t>川湖</t>
        </is>
      </c>
      <c r="D157" s="48" t="n">
        <v>2059</v>
      </c>
      <c r="E157" s="44" t="inlineStr">
        <is>
          <t>美系大行</t>
        </is>
      </c>
      <c r="F157" s="44" t="inlineStr">
        <is>
          <t>• 上修25-27年EPS至$86.5/$108.3/$119.4，以明年28xPE評價。
• 儘管2Q遭遇匯率逆風，預估毛利率有71.9%水準。
• 3Q預估營收季增6%、年增73%、毛利率70.6%、OPM 63.7%。
• 受益AI伺服器資本支出上行循環，滑軌dollar content增加2-3成。
• 已開始與客戶議價要反應匯率，有足夠議價能力紓解匯率壓力。</t>
        </is>
      </c>
      <c r="G157" s="44" t="inlineStr">
        <is>
          <t>#滑軌 #議價能力 #匯率紓解</t>
        </is>
      </c>
    </row>
    <row r="158">
      <c r="A158" s="44" t="n">
        <v>157</v>
      </c>
      <c r="B158" s="44" t="inlineStr">
        <is>
          <t>2025/08/05</t>
        </is>
      </c>
      <c r="C158" s="44" t="inlineStr">
        <is>
          <t>奇鋐</t>
        </is>
      </c>
      <c r="D158" s="48" t="n">
        <v>3017</v>
      </c>
      <c r="E158" s="44" t="inlineStr">
        <is>
          <t>美系大行</t>
        </is>
      </c>
      <c r="F158" s="44" t="inlineStr">
        <is>
          <t>• 上修25-27年EPS至$41.9/$54.1/$68.1，以明年26xPE評價。
• 幾乎贏者全拿，水冷導入從compute board蔓延到switch tray、Power delivery boards、memory modules等。
• 將應用於GB300、Vera-Rubin、AWS Tranium 2.5/3系列等未來AI機櫃專案。
• 在AI機櫃冷板模組持續保持主導地位。
• 水冷今年營收成長超過3位數，明年5成。</t>
        </is>
      </c>
      <c r="G158" s="44" t="inlineStr">
        <is>
          <t>#水冷 #贏者全拿 #冷板模組 #GB300 #Vera-Rubin</t>
        </is>
      </c>
    </row>
    <row r="159">
      <c r="A159" s="44" t="n">
        <v>158</v>
      </c>
      <c r="B159" s="44" t="inlineStr">
        <is>
          <t>2025/08/05</t>
        </is>
      </c>
      <c r="C159" s="44" t="inlineStr">
        <is>
          <t>南電</t>
        </is>
      </c>
      <c r="D159" s="48" t="n">
        <v>8046</v>
      </c>
      <c r="E159" s="44" t="inlineStr">
        <is>
          <t>美系大行</t>
        </is>
      </c>
      <c r="F159" s="44" t="inlineStr">
        <is>
          <t>• 儘管維持UW評等，肯定7月營收超過預估。
• BT漲價、ABF需求好（networking）、SiP substrates for Apple進入旺季。</t>
        </is>
      </c>
      <c r="G159" s="44" t="inlineStr">
        <is>
          <t>#BT漲價 #ABF #Apple</t>
        </is>
      </c>
    </row>
    <row r="160">
      <c r="A160" s="44" t="n">
        <v>159</v>
      </c>
      <c r="B160" s="44" t="inlineStr">
        <is>
          <t>2025/08/05</t>
        </is>
      </c>
      <c r="C160" s="44" t="inlineStr">
        <is>
          <t>勤誠</t>
        </is>
      </c>
      <c r="D160" s="48" t="n">
        <v>8210</v>
      </c>
      <c r="E160" s="44" t="inlineStr">
        <is>
          <t>美系大行</t>
        </is>
      </c>
      <c r="F160" s="44" t="inlineStr">
        <is>
          <t>• 回應市場謠傳3Q營收季減雙位數不太可能，維持季持平預估。
• GB系列成長被部分HGX下滑抵銷，但小客戶訂單調整不足以影響全盤。
• 主力客戶機櫃出貨進度正常，目前沒有2H25和2026年遞延跡象。</t>
        </is>
      </c>
      <c r="G160" s="44" t="inlineStr">
        <is>
          <t>#GB系列 #謠傳澄清</t>
        </is>
      </c>
    </row>
    <row r="161">
      <c r="A161" s="44" t="n">
        <v>160</v>
      </c>
      <c r="B161" s="44" t="inlineStr">
        <is>
          <t>2025/08/05</t>
        </is>
      </c>
      <c r="C161" s="44" t="inlineStr">
        <is>
          <t>台光電</t>
        </is>
      </c>
      <c r="D161" s="48" t="n">
        <v>2383</v>
      </c>
      <c r="E161" s="44" t="inlineStr">
        <is>
          <t>美系券商</t>
        </is>
      </c>
      <c r="F161" s="44" t="inlineStr">
        <is>
          <t>• 沒看到ASIC砍單。
• 預期下半年營收持續增長，M9通過AI GPU客戶認證。
• 800G switch市佔率超過5成，持續擴產中。</t>
        </is>
      </c>
      <c r="G161" s="44" t="inlineStr">
        <is>
          <t>#M9認證 #800G #市佔5成 #無砍單</t>
        </is>
      </c>
    </row>
    <row r="162">
      <c r="A162" s="44" t="n">
        <v>161</v>
      </c>
      <c r="B162" s="44" t="inlineStr">
        <is>
          <t>2025/08/06</t>
        </is>
      </c>
      <c r="C162" s="44" t="inlineStr">
        <is>
          <t>智邦</t>
        </is>
      </c>
      <c r="D162" s="48" t="n">
        <v>2345</v>
      </c>
      <c r="E162" s="44" t="inlineStr">
        <is>
          <t>美系大行</t>
        </is>
      </c>
      <c r="F162" s="44" t="inlineStr">
        <is>
          <t>• 3Q在高基期下繼續成長，預估營收季增7%。
• 預估毛利率回升至18%，淨利季增18%。
• 來自AI加速器及800G貢獻。
• 上修25-27年EPS至$39.3/$47/$52.7，以明年25xPE評價。</t>
        </is>
      </c>
      <c r="G162" s="44" t="inlineStr">
        <is>
          <t>#AI加速器 #800G #毛利率回升</t>
        </is>
      </c>
    </row>
    <row r="163">
      <c r="A163" s="44" t="n">
        <v>162</v>
      </c>
      <c r="B163" s="44" t="inlineStr">
        <is>
          <t>2025/08/06</t>
        </is>
      </c>
      <c r="C163" s="44" t="inlineStr">
        <is>
          <t>富世達</t>
        </is>
      </c>
      <c r="D163" s="48" t="n">
        <v>6805</v>
      </c>
      <c r="E163" s="44" t="inlineStr">
        <is>
          <t>美系大行</t>
        </is>
      </c>
      <c r="F163" s="44" t="inlineStr">
        <is>
          <t>• 調研有更多floating mount、UQD及rail kit新案for AI伺服器（Nvidia, AMD, ASIC）。
• 最新預估3Q營收季增率25%。
• 上修25-27年EPS至$29/$46.6/$66.5，以明年25xPE評價。</t>
        </is>
      </c>
      <c r="G163" s="44" t="inlineStr">
        <is>
          <t>#UQD #rail_kit #ASIC #Nvidia #AMD</t>
        </is>
      </c>
    </row>
    <row r="164">
      <c r="A164" s="44" t="n">
        <v>163</v>
      </c>
      <c r="B164" s="44" t="inlineStr">
        <is>
          <t>2025/08/06</t>
        </is>
      </c>
      <c r="C164" s="44" t="inlineStr">
        <is>
          <t>鴻海</t>
        </is>
      </c>
      <c r="D164" s="48" t="n">
        <v>2317</v>
      </c>
      <c r="E164" s="44" t="inlineStr">
        <is>
          <t>美系大行</t>
        </is>
      </c>
      <c r="F164" s="44" t="inlineStr">
        <is>
          <t>• 因伺服器出貨增，調升3Q營收季增率至17%、年增率14%。
• 營收增長，營運槓桿浮現。
• 上修明後年EPS至$13.9/$16.8，以明年16xPE評價。</t>
        </is>
      </c>
      <c r="G164" s="44" t="inlineStr">
        <is>
          <t>#伺服器出貨 #營運槓桿</t>
        </is>
      </c>
    </row>
    <row r="165">
      <c r="A165" s="44" t="n">
        <v>164</v>
      </c>
      <c r="B165" s="44" t="inlineStr">
        <is>
          <t>2025/08/06</t>
        </is>
      </c>
      <c r="C165" s="44" t="inlineStr">
        <is>
          <t>貿聯</t>
        </is>
      </c>
      <c r="D165" s="48" t="n">
        <v>3665</v>
      </c>
      <c r="E165" s="44" t="inlineStr">
        <is>
          <t>美系大行</t>
        </is>
      </c>
      <c r="F165" s="44" t="inlineStr">
        <is>
          <t>• 七月營收達成季預估數35%，表現優於預期。
• AEC、power/data cables需求旺。
• 重申正面評價不變。</t>
        </is>
      </c>
      <c r="G165" s="44" t="inlineStr">
        <is>
          <t>#AEC #營收超預期</t>
        </is>
      </c>
    </row>
    <row r="166">
      <c r="A166" s="44" t="n">
        <v>165</v>
      </c>
      <c r="B166" s="44" t="inlineStr">
        <is>
          <t>2025/08/06</t>
        </is>
      </c>
      <c r="C166" s="44" t="inlineStr">
        <is>
          <t>愛普</t>
        </is>
      </c>
      <c r="D166" s="48" t="n">
        <v>6531</v>
      </c>
      <c r="E166" s="44" t="inlineStr">
        <is>
          <t>美系大行</t>
        </is>
      </c>
      <c r="F166" s="44" t="inlineStr">
        <is>
          <t>• 2Q營收及毛利率皆優於預估。
• S-SiCap進入量產（但會影響毛利率）、IoTRAM導入量產。
• 新款ApSRAM產品應用於低功耗邊緣運算。
• VHM收NRE from非加密客戶，預期28年進入量產。
• 下修今年EPS至$2.4，上修明後年至$13.3/$19.3。</t>
        </is>
      </c>
      <c r="G166" s="44" t="inlineStr">
        <is>
          <t>#S-SiCap #IoTRAM #ApSRAM #VHM</t>
        </is>
      </c>
    </row>
    <row r="167">
      <c r="A167" s="44" t="n">
        <v>166</v>
      </c>
      <c r="B167" s="44" t="inlineStr">
        <is>
          <t>2025/08/01</t>
        </is>
      </c>
      <c r="C167" s="44" t="inlineStr">
        <is>
          <t>台達電</t>
        </is>
      </c>
      <c r="D167" s="48" t="n">
        <v>2308</v>
      </c>
      <c r="E167" s="44" t="inlineStr">
        <is>
          <t>眾券商</t>
        </is>
      </c>
      <c r="F167" s="44" t="inlineStr">
        <is>
          <t>• 昨日法說會後，眾券商紛紛調高25-27年EPS。
• 美系大行指出原本樂觀版預估現在已變成基本預估。
• AI佔營收近3成，下半年水冷跟電源管理隨新品導入並同步放量。
• 預估OPM持續成長，擴產腳步不停歇。
• 明年EPS多數預估$24，後年$27-$28。</t>
        </is>
      </c>
      <c r="G167" s="44" t="inlineStr">
        <is>
          <t>#法說會 #水冷 #電源管理 #OPM提升</t>
        </is>
      </c>
    </row>
    <row r="168">
      <c r="A168" s="44" t="n">
        <v>167</v>
      </c>
      <c r="B168" s="44" t="inlineStr">
        <is>
          <t>2025/08/01</t>
        </is>
      </c>
      <c r="C168" s="44" t="inlineStr">
        <is>
          <t>友達</t>
        </is>
      </c>
      <c r="D168" s="48" t="n">
        <v>2409</v>
      </c>
      <c r="E168" s="44" t="inlineStr">
        <is>
          <t>美系大行</t>
        </is>
      </c>
      <c r="F168" s="44" t="inlineStr">
        <is>
          <t>• 2Q財報優於預期，因產品優化，毛利率/OPM皆優於預估。
• 展望今年：TV年減3%、移動裝置上修至全年年增高個位數（原中低個位數）、垂直產品預期全年成長雙位數。
• 券商維持中性評等，認為TV面板價格每月下跌1-2%的趨勢仍對基本面構成壓力。</t>
        </is>
      </c>
      <c r="G168" s="44" t="inlineStr">
        <is>
          <t>#產品優化 #TV面板降價 #中性評等</t>
        </is>
      </c>
    </row>
    <row r="169">
      <c r="A169" s="44" t="n">
        <v>168</v>
      </c>
      <c r="B169" s="44" t="inlineStr">
        <is>
          <t>2025/08/01</t>
        </is>
      </c>
      <c r="C169" s="44" t="inlineStr">
        <is>
          <t>穩懋</t>
        </is>
      </c>
      <c r="D169" s="48" t="n">
        <v>3105</v>
      </c>
      <c r="E169" s="44" t="inlineStr">
        <is>
          <t>美系券商</t>
        </is>
      </c>
      <c r="F169" s="44" t="inlineStr">
        <is>
          <t>• 2Q受匯率及競爭對手影響，表現不如預期。
• 展望3Q因季節性拉貨，預期稼動率回升至55%。
• 預估營收季增中-雙位數。</t>
        </is>
      </c>
      <c r="G169" s="44" t="inlineStr">
        <is>
          <t>#匯率影響 #稼動率55% #季節性拉貨</t>
        </is>
      </c>
    </row>
    <row r="170">
      <c r="A170" s="44" t="n">
        <v>169</v>
      </c>
      <c r="B170" s="44" t="inlineStr">
        <is>
          <t>2025/08/01</t>
        </is>
      </c>
      <c r="C170" s="44" t="inlineStr">
        <is>
          <t>亞德客</t>
        </is>
      </c>
      <c r="D170" s="48" t="n">
        <v>1509</v>
      </c>
      <c r="E170" s="44" t="inlineStr">
        <is>
          <t>歐系券商</t>
        </is>
      </c>
      <c r="F170" s="44" t="inlineStr">
        <is>
          <t>• 2Q Linear年增15%，但電子相關銷售低於預期，主因出貨延遲。
• 全年營收維持低-雙位數成長不變。
• 電子部門成長預期由+10%下修為持平。
• 3Q為季節性淡季，對全年訂單展望保守看待。</t>
        </is>
      </c>
      <c r="G170" s="44" t="inlineStr">
        <is>
          <t>#電子部門下修 #出貨延遲 #淡季</t>
        </is>
      </c>
    </row>
    <row r="171">
      <c r="A171" s="44" t="n">
        <v>170</v>
      </c>
      <c r="B171" s="44" t="inlineStr">
        <is>
          <t>2025/08/06</t>
        </is>
      </c>
      <c r="C171" s="44" t="inlineStr">
        <is>
          <t>智邦</t>
        </is>
      </c>
      <c r="D171" s="48" t="n">
        <v>2345</v>
      </c>
      <c r="E171" s="44" t="inlineStr">
        <is>
          <t>美系大行</t>
        </is>
      </c>
      <c r="F171" s="44" t="inlineStr">
        <is>
          <t>• 3Q在高基期下繼續成長，預估營收季增7%。
• 預估毛利率回升至18%，淨利季增18%。
• 來自AI加速器及800G貢獻。
• 上修25-27年EPS至$39.3/$47/$52.7，以明年25xPE評價。</t>
        </is>
      </c>
      <c r="G171" s="44" t="inlineStr">
        <is>
          <t>#AI加速器 #800G #毛利率回升</t>
        </is>
      </c>
    </row>
    <row r="172">
      <c r="A172" s="44" t="n">
        <v>171</v>
      </c>
      <c r="B172" s="44" t="inlineStr">
        <is>
          <t>2025/08/06</t>
        </is>
      </c>
      <c r="C172" s="44" t="inlineStr">
        <is>
          <t>富世達</t>
        </is>
      </c>
      <c r="D172" s="48" t="n">
        <v>6805</v>
      </c>
      <c r="E172" s="44" t="inlineStr">
        <is>
          <t>美系大行</t>
        </is>
      </c>
      <c r="F172" s="44" t="inlineStr">
        <is>
          <t>• 調研有更多floating mount、UQD及rail kit新案for AI伺服器（Nvidia, AMD, ASIC）。
• 最新預估3Q營收季增率25%。
• 上修25-27年EPS至$29/$46.6/$66.5，以明年25xPE評價。</t>
        </is>
      </c>
      <c r="G172" s="44" t="inlineStr">
        <is>
          <t>#UQD #rail_kit #ASIC #Nvidia #AMD</t>
        </is>
      </c>
    </row>
    <row r="173">
      <c r="A173" s="44" t="n">
        <v>172</v>
      </c>
      <c r="B173" s="44" t="inlineStr">
        <is>
          <t>2025/08/06</t>
        </is>
      </c>
      <c r="C173" s="44" t="inlineStr">
        <is>
          <t>鴻海</t>
        </is>
      </c>
      <c r="D173" s="48" t="n">
        <v>2317</v>
      </c>
      <c r="E173" s="44" t="inlineStr">
        <is>
          <t>美系大行</t>
        </is>
      </c>
      <c r="F173" s="44" t="inlineStr">
        <is>
          <t>• 因伺服器出貨增，調升3Q營收季增率至17%、年增率14%。
• 營收增長，營運槓桿浮現。
• 上修明後年EPS至$13.9/$16.8，以明年16xPE評價。</t>
        </is>
      </c>
      <c r="G173" s="44" t="inlineStr">
        <is>
          <t>#伺服器出貨 #營運槓桿</t>
        </is>
      </c>
    </row>
    <row r="174">
      <c r="A174" s="44" t="n">
        <v>173</v>
      </c>
      <c r="B174" s="44" t="inlineStr">
        <is>
          <t>2025/08/06</t>
        </is>
      </c>
      <c r="C174" s="44" t="inlineStr">
        <is>
          <t>貿聯</t>
        </is>
      </c>
      <c r="D174" s="48" t="n">
        <v>3665</v>
      </c>
      <c r="E174" s="44" t="inlineStr">
        <is>
          <t>美系大行</t>
        </is>
      </c>
      <c r="F174" s="44" t="inlineStr">
        <is>
          <t>• 七月營收達成季預估數35%，表現優於預期。
• AEC、power/data cables需求旺。
• 重申正面評價不變。</t>
        </is>
      </c>
      <c r="G174" s="44" t="inlineStr">
        <is>
          <t>#AEC #營收超預期</t>
        </is>
      </c>
    </row>
    <row r="175">
      <c r="A175" s="44" t="n">
        <v>174</v>
      </c>
      <c r="B175" s="44" t="inlineStr">
        <is>
          <t>2025/08/06</t>
        </is>
      </c>
      <c r="C175" s="44" t="inlineStr">
        <is>
          <t>愛普</t>
        </is>
      </c>
      <c r="D175" s="48" t="n">
        <v>6531</v>
      </c>
      <c r="E175" s="44" t="inlineStr">
        <is>
          <t>美系大行</t>
        </is>
      </c>
      <c r="F175" s="44" t="inlineStr">
        <is>
          <t>• 2Q營收及毛利率皆優於預估。
• S-SiCap進入量產（但會影響毛利率）、IoTRAM導入量產。
• 新款ApSRAM產品應用於低功耗邊緣運算。
• VHM收NRE from非加密客戶，預期28年進入量產。
• 下修今年EPS至$2.4，上修明後年至$13.3/$19.3。</t>
        </is>
      </c>
      <c r="G175" s="44" t="inlineStr">
        <is>
          <t>#S-SiCap #IoTRAM #ApSRAM #VHM</t>
        </is>
      </c>
    </row>
    <row r="176">
      <c r="A176" s="44" t="n">
        <v>175</v>
      </c>
      <c r="B176" s="44" t="inlineStr">
        <is>
          <t>2025/08/01</t>
        </is>
      </c>
      <c r="C176" s="44" t="inlineStr">
        <is>
          <t>台達電</t>
        </is>
      </c>
      <c r="D176" s="48" t="n">
        <v>2308</v>
      </c>
      <c r="E176" s="44" t="inlineStr">
        <is>
          <t>眾券商</t>
        </is>
      </c>
      <c r="F176" s="44" t="inlineStr">
        <is>
          <t>• 昨日法說會後，眾券商紛紛調高25-27年EPS。
• 美系大行指出原本樂觀版預估現在已變成基本預估。
• AI佔營收近3成，下半年水冷跟電源管理隨新品導入並同步放量。
• 預估OPM持續成長，擴產腳步不停歇。
• 明年EPS多數預估$24，後年$27-$28。</t>
        </is>
      </c>
      <c r="G176" s="44" t="inlineStr">
        <is>
          <t>#法說會 #水冷 #電源管理 #OPM提升</t>
        </is>
      </c>
    </row>
    <row r="177">
      <c r="A177" s="44" t="n">
        <v>176</v>
      </c>
      <c r="B177" s="44" t="inlineStr">
        <is>
          <t>2025/08/01</t>
        </is>
      </c>
      <c r="C177" s="44" t="inlineStr">
        <is>
          <t>友達</t>
        </is>
      </c>
      <c r="D177" s="48" t="n">
        <v>2409</v>
      </c>
      <c r="E177" s="44" t="inlineStr">
        <is>
          <t>美系大行</t>
        </is>
      </c>
      <c r="F177" s="44" t="inlineStr">
        <is>
          <t>• 2Q財報優於預期，因產品優化，毛利率/OPM皆優於預估。
• 展望今年：TV年減3%、移動裝置上修至全年年增高個位數（原中低個位數）、垂直產品預期全年成長雙位數。
• 券商維持中性評等，認為TV面板價格每月下跌1-2%的趨勢仍對基本面構成壓力。</t>
        </is>
      </c>
      <c r="G177" s="44" t="inlineStr">
        <is>
          <t>#產品優化 #TV面板降價 #中性評等</t>
        </is>
      </c>
    </row>
    <row r="178">
      <c r="A178" s="44" t="n">
        <v>177</v>
      </c>
      <c r="B178" s="44" t="inlineStr">
        <is>
          <t>2025/08/01</t>
        </is>
      </c>
      <c r="C178" s="44" t="inlineStr">
        <is>
          <t>穩懋</t>
        </is>
      </c>
      <c r="D178" s="48" t="n">
        <v>3105</v>
      </c>
      <c r="E178" s="44" t="inlineStr">
        <is>
          <t>美系券商</t>
        </is>
      </c>
      <c r="F178" s="44" t="inlineStr">
        <is>
          <t>• 2Q受匯率及競爭對手影響，表現不如預期。
• 展望3Q因季節性拉貨，預期稼動率回升至55%。
• 預估營收季增中-雙位數。</t>
        </is>
      </c>
      <c r="G178" s="44" t="inlineStr">
        <is>
          <t>#匯率影響 #稼動率55% #季節性拉貨</t>
        </is>
      </c>
    </row>
    <row r="179">
      <c r="A179" s="44" t="n">
        <v>178</v>
      </c>
      <c r="B179" s="44" t="inlineStr">
        <is>
          <t>2025/08/01</t>
        </is>
      </c>
      <c r="C179" s="44" t="inlineStr">
        <is>
          <t>亞德客</t>
        </is>
      </c>
      <c r="D179" s="48" t="n">
        <v>1509</v>
      </c>
      <c r="E179" s="44" t="inlineStr">
        <is>
          <t>歐系券商</t>
        </is>
      </c>
      <c r="F179" s="44" t="inlineStr">
        <is>
          <t>• 2Q Linear年增15%，但電子相關銷售低於預期，主因出貨延遲。
• 全年營收維持低-雙位數成長不變。
• 電子部門成長預期由+10%下修為持平。
• 3Q為季節性淡季，對全年訂單展望保守看待。</t>
        </is>
      </c>
      <c r="G179" s="44" t="inlineStr">
        <is>
          <t>#電子部門下修 #出貨延遲 #淡季</t>
        </is>
      </c>
    </row>
    <row r="180">
      <c r="A180" s="44" t="n">
        <v>179</v>
      </c>
      <c r="B180" s="44" t="inlineStr">
        <is>
          <t>2025/07/31</t>
        </is>
      </c>
      <c r="C180" s="44" t="inlineStr">
        <is>
          <t>台光電</t>
        </is>
      </c>
      <c r="D180" s="48" t="n">
        <v>2383</v>
      </c>
      <c r="E180" s="44" t="inlineStr">
        <is>
          <t>美系券商</t>
        </is>
      </c>
      <c r="F180" s="44" t="inlineStr">
        <is>
          <t>• 上修25-27年EPS至$46.6/$65.6/$81.5，以20xPE評價。
• 儘管2Q遭受匯率逆風，本業仍符合預估，展望3Q馬來西亞產能增加12.5%。
• 預估營收季增12%，毛利率達31.4%（M7/M8增）。
• 上調資本支出，預估明年總產能增加近3成（包括新增昆山600k/m、中山600k/m、馬來西亞150k/m）。</t>
        </is>
      </c>
      <c r="G180" s="44" t="inlineStr">
        <is>
          <t>#M7 #M8 #馬來西亞擴產</t>
        </is>
      </c>
    </row>
    <row r="181">
      <c r="A181" s="44" t="n">
        <v>180</v>
      </c>
      <c r="B181" s="44" t="inlineStr">
        <is>
          <t>2025/07/31</t>
        </is>
      </c>
      <c r="C181" s="44" t="inlineStr">
        <is>
          <t>台達電</t>
        </is>
      </c>
      <c r="D181" s="48" t="n">
        <v>2308</v>
      </c>
      <c r="E181" s="44" t="inlineStr">
        <is>
          <t>美系大行</t>
        </is>
      </c>
      <c r="F181" s="44" t="inlineStr">
        <is>
          <t>• 今日下午召開法說會，2Q毛利率/OPM皆優於預期。
• 匯率因素不影響雙率上升。</t>
        </is>
      </c>
      <c r="G181" s="44" t="inlineStr">
        <is>
          <t>#2Q超預期 #法說會</t>
        </is>
      </c>
    </row>
    <row r="182">
      <c r="A182" s="44" t="n">
        <v>181</v>
      </c>
      <c r="B182" s="44" t="inlineStr">
        <is>
          <t>2025/07/31</t>
        </is>
      </c>
      <c r="C182" s="44" t="inlineStr">
        <is>
          <t>聯發科</t>
        </is>
      </c>
      <c r="D182" s="48" t="n">
        <v>2454</v>
      </c>
      <c r="E182" s="44" t="inlineStr">
        <is>
          <t>美系大行</t>
        </is>
      </c>
      <c r="F182" s="44" t="inlineStr">
        <is>
          <t>• 昨日法說會後，AI ASIC進度穩在進度上且略優於預期。
• 維持明年Google案貢獻10億美金預估，今年3Q底tape out。
• 認為3Q營收展望管理層先給保守說法，D9500可望支撐獲利。
• 預期明年毛利率穩在47%。</t>
        </is>
      </c>
      <c r="G182" s="44" t="inlineStr">
        <is>
          <t>#ASIC #Google #D9500</t>
        </is>
      </c>
    </row>
    <row r="183">
      <c r="A183" s="44" t="n">
        <v>182</v>
      </c>
      <c r="B183" s="44" t="inlineStr">
        <is>
          <t>2025/07/31</t>
        </is>
      </c>
      <c r="C183" s="44" t="inlineStr">
        <is>
          <t>聯亞</t>
        </is>
      </c>
      <c r="D183" s="48" t="n">
        <v>3081</v>
      </c>
      <c r="E183" s="44" t="inlineStr">
        <is>
          <t>美系大行</t>
        </is>
      </c>
      <c r="F183" s="44" t="inlineStr">
        <is>
          <t>• 2Q毛利率43.3%優於預估，因產品組合改善及營收規模回升。
• 預估3Q營收持平或小增。
• InP基板供應預計8-9月恢復正常，手中持有大尺寸InP基板庫存可支撐超過6個月。
• 預期10月起大尺寸epi wafer出貨將重啟。</t>
        </is>
      </c>
      <c r="G183" s="44" t="inlineStr">
        <is>
          <t>#InP基板 #epi_wafer</t>
        </is>
      </c>
    </row>
    <row r="184">
      <c r="A184" s="44" t="n">
        <v>183</v>
      </c>
      <c r="B184" s="44" t="inlineStr">
        <is>
          <t>2025/07/31</t>
        </is>
      </c>
      <c r="C184" s="44" t="inlineStr">
        <is>
          <t>聯電</t>
        </is>
      </c>
      <c r="D184" s="48" t="n">
        <v>2303</v>
      </c>
      <c r="E184" s="44" t="inlineStr">
        <is>
          <t>美系券商</t>
        </is>
      </c>
      <c r="F184" s="44" t="inlineStr">
        <is>
          <t>• 昨日法說會，維持中性看法不變。
• 台積電可能針對28nm與其他成熟節點提供價格優惠，預期可能須跟進。
• 消費性電子需求疲弱影響3Q出貨量：預估季持平或小幅下滑，預估ASP亦下滑。
• UTR維持在74-79%（中段偏低水準）。</t>
        </is>
      </c>
      <c r="G184" s="44" t="inlineStr">
        <is>
          <t>#28nm #價格競爭 #中性評等</t>
        </is>
      </c>
    </row>
    <row r="185">
      <c r="A185" s="44" t="n">
        <v>184</v>
      </c>
      <c r="B185" s="44" t="inlineStr">
        <is>
          <t>2025/07/30</t>
        </is>
      </c>
      <c r="C185" s="44" t="inlineStr">
        <is>
          <t>欣興</t>
        </is>
      </c>
      <c r="D185" s="48" t="n">
        <v>3037</v>
      </c>
      <c r="E185" s="44" t="inlineStr">
        <is>
          <t>美系券商</t>
        </is>
      </c>
      <c r="F185" s="44" t="inlineStr">
        <is>
          <t>• 儘管受到匯率影響，但認為本業優於預期。
• 因ABF、BT稼動率表現優於預期及成本控管得宜。</t>
        </is>
      </c>
      <c r="G185" s="44" t="inlineStr">
        <is>
          <t>#ABF #BT #成本控管</t>
        </is>
      </c>
    </row>
    <row r="186">
      <c r="A186" s="44" t="n">
        <v>185</v>
      </c>
      <c r="B186" s="44" t="inlineStr">
        <is>
          <t>2025/07/30</t>
        </is>
      </c>
      <c r="C186" s="44" t="inlineStr">
        <is>
          <t>世界</t>
        </is>
      </c>
      <c r="D186" s="48" t="n">
        <v>5347</v>
      </c>
      <c r="E186" s="44" t="inlineStr">
        <is>
          <t>美系券商</t>
        </is>
      </c>
      <c r="F186" s="44" t="inlineStr">
        <is>
          <t>• 昨日法說會後，升評至Neutral，上修明後年EPS至$5.3/$5.5。
• PMIC市佔上升超過預期，因來自中國的轉單。
• 新建12吋高雄廠進展順利，60% LTA（長期合約）已到位。
• 有助價與量的提升。</t>
        </is>
      </c>
      <c r="G186" s="44" t="inlineStr">
        <is>
          <t>#PMIC #中國轉單 #高雄廠</t>
        </is>
      </c>
    </row>
    <row r="187">
      <c r="A187" s="44" t="n">
        <v>186</v>
      </c>
      <c r="B187" s="44" t="inlineStr">
        <is>
          <t>2025/07/30</t>
        </is>
      </c>
      <c r="C187" s="44" t="inlineStr">
        <is>
          <t>智邦</t>
        </is>
      </c>
      <c r="D187" s="48" t="n">
        <v>2345</v>
      </c>
      <c r="E187" s="44" t="inlineStr">
        <is>
          <t>美系大行</t>
        </is>
      </c>
      <c r="F187" s="44" t="inlineStr">
        <is>
          <t>• 從Celestica財報解讀行業仍在正向循環上。
• Celestica訂單能見度看到明年上半年，800G起量+400G長尾需求仍在。
• Celestica同步上修今年營收展望至年增2成。</t>
        </is>
      </c>
      <c r="G187" s="44" t="inlineStr">
        <is>
          <t>#800G #400G #Celestica</t>
        </is>
      </c>
    </row>
    <row r="188">
      <c r="A188" s="44" t="n">
        <v>187</v>
      </c>
      <c r="B188" s="44" t="inlineStr">
        <is>
          <t>2025/07/29</t>
        </is>
      </c>
      <c r="C188" s="44" t="inlineStr">
        <is>
          <t>全新</t>
        </is>
      </c>
      <c r="D188" s="48" t="n">
        <v>2455</v>
      </c>
      <c r="E188" s="44" t="inlineStr">
        <is>
          <t>亞系券商</t>
        </is>
      </c>
      <c r="F188" s="44" t="inlineStr">
        <is>
          <t>• 雖下修今年反應上半年InP供給短缺，但上修明年至5.8、預估後年7.5。
• 以明年33xPE評價。
• 預估今年下半年光學需求回穩，明年營收翻倍。
• 主要客戶Broadcom 800G/1.6T光模組需求持續增加。
• 資料中心光互連需求急增。</t>
        </is>
      </c>
      <c r="G188" s="44" t="inlineStr">
        <is>
          <t>#InP #800G #1.6T #Broadcom</t>
        </is>
      </c>
    </row>
    <row r="189">
      <c r="A189" s="44" t="n">
        <v>188</v>
      </c>
      <c r="B189" s="44" t="inlineStr">
        <is>
          <t>2025/07/29</t>
        </is>
      </c>
      <c r="C189" s="44" t="inlineStr">
        <is>
          <t>景碩</t>
        </is>
      </c>
      <c r="D189" s="48" t="n">
        <v>3189</v>
      </c>
      <c r="E189" s="44" t="inlineStr">
        <is>
          <t>美系券商</t>
        </is>
      </c>
      <c r="F189" s="44" t="inlineStr">
        <is>
          <t>• 2Q不如預期係因匯率及隱形眼鏡影響。
• 認為BT/ABF因T-glass供給短缺會有漲價預期。
• 預估ABF在4Q會漲5%，但認為BT在4Q會有短期需求減緩，漲價不易。
• 上修25-27年EPS至$3.7/$6/$7.8。</t>
        </is>
      </c>
      <c r="G189" s="44" t="inlineStr">
        <is>
          <t>#ABF #BT #T-glass短缺 #漲價</t>
        </is>
      </c>
    </row>
    <row r="190">
      <c r="A190" s="44" t="n">
        <v>189</v>
      </c>
      <c r="B190" s="44" t="inlineStr">
        <is>
          <t>2025/07/29</t>
        </is>
      </c>
      <c r="C190" s="44" t="inlineStr">
        <is>
          <t>緯創</t>
        </is>
      </c>
      <c r="D190" s="48" t="n">
        <v>3231</v>
      </c>
      <c r="E190" s="44" t="inlineStr">
        <is>
          <t>美系大行</t>
        </is>
      </c>
      <c r="F190" s="44" t="inlineStr">
        <is>
          <t>• H20解禁，緯創是受惠者之一。
• 1H25出貨已達2-3萬片，若全面解禁全年可上看5萬片。
• 上修全年出貨預估，預期3Q 2.6k tray、4Q季節性回到1.6k。</t>
        </is>
      </c>
      <c r="G190" s="44" t="inlineStr">
        <is>
          <t>#H20 #解禁受惠</t>
        </is>
      </c>
    </row>
    <row r="191">
      <c r="A191" s="44" t="n">
        <v>190</v>
      </c>
      <c r="B191" s="44" t="inlineStr">
        <is>
          <t>2025/07/28</t>
        </is>
      </c>
      <c r="C191" s="44" t="inlineStr">
        <is>
          <t>聯發科</t>
        </is>
      </c>
      <c r="D191" s="48" t="n">
        <v>2454</v>
      </c>
      <c r="E191" s="44" t="inlineStr">
        <is>
          <t>美系券商</t>
        </is>
      </c>
      <c r="F191" s="44" t="inlineStr">
        <is>
          <t>• 7/30即將舉辦法說會，預估2Q毛利率穩在47%。
• 展望3Q，儘管在高階機種有斬獲，但在中低階高通市佔率上升（因SM4450同時支援LPDDR5 and LPDDR4）。
• 預期3Q營收季減3-5%（美金），台幣計價季減8%。
• 全年營收：美金計價預估年增15%，台幣10%。
• ASIC是外卡：Google TPU明年下半年貢獻營收，Meta案10月確定，與高通競爭成功機率50:50。</t>
        </is>
      </c>
      <c r="G191" s="44" t="inlineStr">
        <is>
          <t>#ASIC #Google_TPU #Meta #高通競爭</t>
        </is>
      </c>
    </row>
    <row r="192">
      <c r="A192" s="44" t="n">
        <v>191</v>
      </c>
      <c r="B192" s="44" t="inlineStr">
        <is>
          <t>2025/07/28</t>
        </is>
      </c>
      <c r="C192" s="44" t="inlineStr">
        <is>
          <t>富世達</t>
        </is>
      </c>
      <c r="D192" s="48" t="n">
        <v>6805</v>
      </c>
      <c r="E192" s="44" t="inlineStr">
        <is>
          <t>亞系券商</t>
        </is>
      </c>
      <c r="F192" s="44" t="inlineStr">
        <is>
          <t>• 以30xPE評價。
• 上修3Q營收預估至20-25%，4Q至少季持平，全年年增40%。
• 下半年諸多折疊手機發表。
• 伺服器相關營收佔比上升中，預估今年能達營收佔比2成，明年至37%。</t>
        </is>
      </c>
      <c r="G192" s="44" t="inlineStr">
        <is>
          <t>#折疊手機 #伺服器</t>
        </is>
      </c>
    </row>
    <row r="193">
      <c r="A193" s="44" t="n">
        <v>192</v>
      </c>
      <c r="B193" s="44" t="inlineStr">
        <is>
          <t>2025/07/28</t>
        </is>
      </c>
      <c r="C193" s="44" t="inlineStr">
        <is>
          <t>台達電</t>
        </is>
      </c>
      <c r="D193" s="48" t="n">
        <v>2308</v>
      </c>
      <c r="E193" s="44" t="inlineStr">
        <is>
          <t>美系券商</t>
        </is>
      </c>
      <c r="F193" s="44" t="inlineStr">
        <is>
          <t>• 泰達電2Q營收季增4%、年增6%。
• 毛利率受匯率影響下滑，OPM受關稅影響下滑。
• 2Q獲利貢獻台達電降至28%（去年同期39%），因side car在台灣做比較多。
• 總體預估2Q毛利率及OPM都有上升；預估31.8%/10.6%。</t>
        </is>
      </c>
      <c r="G193" s="44" t="inlineStr">
        <is>
          <t>#side_car #匯率影響</t>
        </is>
      </c>
    </row>
    <row r="194">
      <c r="A194" s="44" t="n">
        <v>193</v>
      </c>
      <c r="B194" s="44" t="inlineStr">
        <is>
          <t>2025/07/25</t>
        </is>
      </c>
      <c r="C194" s="44" t="inlineStr">
        <is>
          <t>全新</t>
        </is>
      </c>
      <c r="D194" s="48" t="n">
        <v>2455</v>
      </c>
      <c r="E194" s="44" t="inlineStr">
        <is>
          <t>美系券商</t>
        </is>
      </c>
      <c r="F194" s="44" t="inlineStr">
        <is>
          <t>• 2Q毛利率不如預期，係因匯率及InP管制所致。
• 6月後得到出口許可，預期後續將趕上因800G/1.6T趨勢帶動的矽光子（SiPh）需求。
• 預估接下來月營收將持續成長。
• 環宇6月營收年增6成，顯示800G PD需求強勁。</t>
        </is>
      </c>
      <c r="G194" s="44" t="inlineStr">
        <is>
          <t>#InP出口許可 #SiPh #環宇</t>
        </is>
      </c>
    </row>
    <row r="195">
      <c r="A195" s="44" t="n">
        <v>194</v>
      </c>
      <c r="B195" s="44" t="inlineStr">
        <is>
          <t>2025/07/24</t>
        </is>
      </c>
      <c r="C195" s="44" t="inlineStr">
        <is>
          <t>廣達</t>
        </is>
      </c>
      <c r="D195" s="48" t="n">
        <v>2382</v>
      </c>
      <c r="E195" s="44" t="inlineStr">
        <is>
          <t>亞系券商</t>
        </is>
      </c>
      <c r="F195" s="44" t="inlineStr">
        <is>
          <t>• 上修25-26年EPS至$19.3/$21.4，以明年15xPE評價。
• 觀察3Q後營收會加速增加，主因高價NVL72將大量出貨。
• 預期3Q出1.5k-2k的NVL72，單價是36的2倍。
• 預估3Q總營收季增20%。
• 回顧2Q，預估毛利率/OPM=7.1%/4.2%。</t>
        </is>
      </c>
      <c r="G195" s="44" t="inlineStr">
        <is>
          <t>#NVL72 #高價出貨</t>
        </is>
      </c>
    </row>
    <row r="196">
      <c r="A196" s="44" t="n">
        <v>195</v>
      </c>
      <c r="B196" s="44" t="inlineStr">
        <is>
          <t>2025/07/24</t>
        </is>
      </c>
      <c r="C196" s="44" t="inlineStr">
        <is>
          <t>上詮</t>
        </is>
      </c>
      <c r="D196" s="48" t="n">
        <v>3363</v>
      </c>
      <c r="E196" s="44" t="inlineStr">
        <is>
          <t>券商通路調研</t>
        </is>
      </c>
      <c r="F196" s="44" t="inlineStr">
        <is>
          <t>• 與聯亞、全新一致的產業正向觀察。
• FAU尺寸雖不變但需容納更多光纖：12.8Tbps需64條200G光纖或128條100G光纖。
• CPO應用中FAU與PIC光學共同封裝，整體進入門檻提高。
• 矽光(SiPh)滲透率提高，應用從SiPh+pluggable→SiPh in CPO with switch→SiPh in CPO with XPU。
• 今上半年營收已年增6成。</t>
        </is>
      </c>
      <c r="G196" s="44" t="inlineStr">
        <is>
          <t>#FAU #CPO #SiPh #營收年增60%</t>
        </is>
      </c>
    </row>
    <row r="197">
      <c r="A197" s="44" t="n">
        <v>196</v>
      </c>
      <c r="B197" s="44" t="inlineStr">
        <is>
          <t>2025/07/24</t>
        </is>
      </c>
      <c r="C197" s="44" t="inlineStr">
        <is>
          <t>台達電</t>
        </is>
      </c>
      <c r="D197" s="48" t="n">
        <v>2308</v>
      </c>
      <c r="E197" s="44" t="inlineStr">
        <is>
          <t>澳系券商</t>
        </is>
      </c>
      <c r="F197" s="44" t="inlineStr">
        <is>
          <t>• 仍長期看好電源供應及水冷發展，但認為今年股價行為已反應近期利多。
• 雖上修26/27年EPS，也上調目標，但降評至Neutral。
• 最新預估25-27年EPS為$17.7/$22.3/$26.7。</t>
        </is>
      </c>
      <c r="G197" s="44" t="inlineStr">
        <is>
          <t>#降評至中性 #股價反應利多</t>
        </is>
      </c>
    </row>
    <row r="198">
      <c r="A198" s="44" t="n">
        <v>197</v>
      </c>
      <c r="B198" s="44" t="inlineStr">
        <is>
          <t>2025/07/23</t>
        </is>
      </c>
      <c r="C198" s="44" t="inlineStr">
        <is>
          <t>勤誠</t>
        </is>
      </c>
      <c r="D198" s="48" t="n">
        <v>8210</v>
      </c>
      <c r="E198" s="44" t="inlineStr">
        <is>
          <t>美系大行</t>
        </is>
      </c>
      <c r="F198" s="44" t="inlineStr">
        <is>
          <t>• 出具52頁大報告初評，給予正面評等。
• 預估25-27年EPS:$24.6/$31.4/$36.4，給予未來12個月25xPE評價。
• AI伺服器相關營收2024-2027年CAGR 45%增長，2027年佔整體營收80%（2024年51%）。
• AI伺服器機殼ASP是傳統的5-6倍。
• 開始為CSP提供客製化整機櫃（rack）方案，該業務去年佔營收0，預期到27年為11%。
• 四座廠房（樹林、嘉義、崑山、東莞），接下來可能選擇美國就近服務客戶並降低地緣風險。</t>
        </is>
      </c>
      <c r="G198" s="44" t="inlineStr">
        <is>
          <t>#初評 #整機櫃 #ASP是傳統5-6倍</t>
        </is>
      </c>
    </row>
    <row r="199">
      <c r="A199" s="44" t="n">
        <v>198</v>
      </c>
      <c r="B199" s="44" t="inlineStr">
        <is>
          <t>2025/07/23</t>
        </is>
      </c>
      <c r="C199" s="44" t="inlineStr">
        <is>
          <t>力積電</t>
        </is>
      </c>
      <c r="D199" s="48" t="n">
        <v>6770</v>
      </c>
      <c r="E199" s="44" t="inlineStr">
        <is>
          <t>美系大行</t>
        </is>
      </c>
      <c r="F199" s="44" t="inlineStr">
        <is>
          <t>• 昨日法說會後再度降目標。
• 2Q不如預期，儘管特殊型DRAM價格上漲，但邏輯晶片業務能見度仍偏低。
• 上半年因應關稅提早拉貨現象已趨緩。
• 長期觀察：Interposer於2Q開始出貨，貢獻營收約2%，目前主要用於CoWoS-S，客戶也開始導入CoWoS-L。
• Wafer-on-Wafer（WoW）4層堆疊仍在認證階段，8層開發中。
• GaN用於AI伺服器100V平台已接近開發完成，預期4Q小量產，接下來擴產。</t>
        </is>
      </c>
      <c r="G199" s="44" t="inlineStr">
        <is>
          <t>#Interposer #WoW #GaN</t>
        </is>
      </c>
    </row>
    <row r="200">
      <c r="A200" s="44" t="n">
        <v>199</v>
      </c>
      <c r="B200" s="44" t="inlineStr">
        <is>
          <t>2025/07/22</t>
        </is>
      </c>
      <c r="C200" s="44" t="inlineStr">
        <is>
          <t>金像電</t>
        </is>
      </c>
      <c r="D200" s="48" t="n">
        <v>2368</v>
      </c>
      <c r="E200" s="44" t="inlineStr">
        <is>
          <t>亞系券商</t>
        </is>
      </c>
      <c r="F200" s="44" t="inlineStr">
        <is>
          <t>• 調升25-27年至$15.3/$22.4/$28.9，給予17xPE評價。
• 儘管2Q遭遇匯率逆風，仍繳出營收季增15%優質成績單，優於預估5-10%。
• 產品組合轉佳抵銷匯率衝擊，預估2Q EPS$2.77。
• 預估在Amazon ASIC server市佔率有40-45%，還有上修空間。
• 明年起也會切進Meta，這些專案將導入多層板（MLB），對金像電又是額外正面挹注。</t>
        </is>
      </c>
      <c r="G200" s="44" t="inlineStr">
        <is>
          <t>#Amazon_ASIC #Meta #MLB #市佔40-45%</t>
        </is>
      </c>
    </row>
    <row r="201">
      <c r="A201" s="44" t="n">
        <v>200</v>
      </c>
      <c r="B201" s="44" t="inlineStr">
        <is>
          <t>2025/07/22</t>
        </is>
      </c>
      <c r="C201" s="44" t="inlineStr">
        <is>
          <t>奇鋐</t>
        </is>
      </c>
      <c r="D201" s="48" t="n">
        <v>3017</v>
      </c>
      <c r="E201" s="44" t="inlineStr">
        <is>
          <t>美系券商</t>
        </is>
      </c>
      <c r="F201" s="44" t="inlineStr">
        <is>
          <t>• 上修25-27年EPS至$37.7/$45.8/$55.7，以明年22xPE評價。
• 預估3Q營收季增9%、年增69%。
• 水冷比例攀升中，越南廠1-2期已佈建完成，3期明年中開始投產。</t>
        </is>
      </c>
      <c r="G201" s="44" t="inlineStr">
        <is>
          <t>#水冷 #越南廠 #營收年增69%</t>
        </is>
      </c>
    </row>
    <row r="202">
      <c r="A202" s="44" t="n">
        <v>201</v>
      </c>
      <c r="B202" s="44" t="inlineStr">
        <is>
          <t>2025/07/22</t>
        </is>
      </c>
      <c r="C202" s="44" t="inlineStr">
        <is>
          <t>台達電</t>
        </is>
      </c>
      <c r="D202" s="48" t="n">
        <v>2308</v>
      </c>
      <c r="E202" s="44" t="inlineStr">
        <is>
          <t>美系券商</t>
        </is>
      </c>
      <c r="F202" s="44" t="inlineStr">
        <is>
          <t>• 看好電源供應與散熱產品強勁交付，其中預估散熱今年會佔營收6%，且交付客製化需求。
• 電源供應：上半年出貨比去年同期成長1.4倍，3Q開始交B300高功率PSU，接下來還有Kyber架構（超高功率、高壓直流HVDC）。
• 預估25-27年EPS:$17.8/$20.3/$22.5，以4Q25-3Q26的29xPE評價。</t>
        </is>
      </c>
      <c r="G202" s="44" t="inlineStr">
        <is>
          <t>#B300 #Kyber #HVDC #散熱6%</t>
        </is>
      </c>
    </row>
    <row r="203">
      <c r="A203" s="44" t="n">
        <v>202</v>
      </c>
      <c r="B203" s="44" t="inlineStr">
        <is>
          <t>2025/07/21</t>
        </is>
      </c>
      <c r="C203" s="44" t="inlineStr">
        <is>
          <t>台達電</t>
        </is>
      </c>
      <c r="D203" s="48" t="n">
        <v>2308</v>
      </c>
      <c r="E203" s="44" t="inlineStr">
        <is>
          <t>美系券商</t>
        </is>
      </c>
      <c r="F203" s="44" t="inlineStr">
        <is>
          <t>• 上修25-26年EPS為$18.2/$22.2，以27年23xPE評價。
• Amazon推出IRHX，台達電是主要受益者，同時L2A的side carts在微軟與Meta也擁有高於預期市佔率。
• 觀察到產業轉變：CSP從購買現成產品（OTS）轉向ODM設計模式。
• GB300產值5.3萬美元（GB200是3.7萬），明年進入VR200架構（每機櫃耗電達200kW），產值躍升至15萬美元（包含BBU、chassis、PMC等）。
• 緊接著Kyber需600kW，採用HVDC系統，推升ASP與毛利率。</t>
        </is>
      </c>
      <c r="G203" s="44" t="inlineStr">
        <is>
          <t>#IRHX #VR200 #產值躍升</t>
        </is>
      </c>
    </row>
    <row r="204">
      <c r="A204" s="44" t="n">
        <v>203</v>
      </c>
      <c r="B204" s="44" t="inlineStr">
        <is>
          <t>2025/07/21</t>
        </is>
      </c>
      <c r="C204" s="44" t="inlineStr">
        <is>
          <t>嘉澤</t>
        </is>
      </c>
      <c r="D204" s="48" t="n">
        <v>3533</v>
      </c>
      <c r="E204" s="44" t="inlineStr">
        <is>
          <t>美系券商</t>
        </is>
      </c>
      <c r="F204" s="44" t="inlineStr">
        <is>
          <t>• 2Q毛利率應會符合預期。
• 展望3Q：伺服器與desktop出貨量季持平，NB季減5%，總體預估3Q營收季增5%。
• AI貢獻有比預期提早，如果導入Bianca主板。
• power connector and cable也受惠H20及RTX PRO 6000。</t>
        </is>
      </c>
      <c r="G204" s="44" t="inlineStr">
        <is>
          <t>#Bianca #H20 #RTX_PRO_6000</t>
        </is>
      </c>
    </row>
    <row r="205">
      <c r="A205" s="44" t="n">
        <v>204</v>
      </c>
      <c r="B205" s="44" t="inlineStr">
        <is>
          <t>2025/07/21</t>
        </is>
      </c>
      <c r="C205" s="44" t="inlineStr">
        <is>
          <t>川湖</t>
        </is>
      </c>
      <c r="D205" s="48" t="n">
        <v>2059</v>
      </c>
      <c r="E205" s="44" t="inlineStr">
        <is>
          <t>美系券商</t>
        </is>
      </c>
      <c r="F205" s="44" t="inlineStr">
        <is>
          <t>• 上修25-27年EPS至$105/$137.4/$163.5，以20.2xPE評價。
• 雖下修機架級（rack-level）AI伺服器預估（例如GB200/300），但上調基板型（baseboard-based）AI伺服器預估（例如H200、B200、ASIC）。
• 氣冷式AI伺服器基數提升，普遍採用高U數滑軌套件（如4U、7U），需要更高客製化程度。
• 2Q營收優於預期，毛利率穩在76%水準。
• 預估3Q營收季增3%。</t>
        </is>
      </c>
      <c r="G205" s="44" t="inlineStr">
        <is>
          <t>#高U數滑軌 #客製化 #毛利率76%</t>
        </is>
      </c>
    </row>
    <row r="206">
      <c r="A206" s="44" t="n">
        <v>205</v>
      </c>
      <c r="B206" s="44" t="inlineStr">
        <is>
          <t>2025/07/21</t>
        </is>
      </c>
      <c r="C206" s="44" t="inlineStr">
        <is>
          <t>全新</t>
        </is>
      </c>
      <c r="D206" s="48" t="n">
        <v>2455</v>
      </c>
      <c r="E206" s="44" t="inlineStr">
        <is>
          <t>美系券商</t>
        </is>
      </c>
      <c r="F206" s="44" t="inlineStr">
        <is>
          <t>• 上修矽光子業務2025-2028年CAGR達+128%（前次預估+91%），營收占比將由2025年7%提升至2028年44%。
• 對800G/1.6T AI伺服器滲透率提高的成長趨勢持更加正面看法。
• 預估25-27年毛利率逐年提高，EPS:$4/$6.3/$8.5。</t>
        </is>
      </c>
      <c r="G206" s="44" t="inlineStr">
        <is>
          <t>#矽光子CAGR128% #800G #1.6T</t>
        </is>
      </c>
    </row>
    <row r="207">
      <c r="A207" s="44" t="n">
        <v>206</v>
      </c>
      <c r="B207" s="44" t="inlineStr">
        <is>
          <t>2025/07/17</t>
        </is>
      </c>
      <c r="C207" s="44" t="inlineStr">
        <is>
          <t>信驊</t>
        </is>
      </c>
      <c r="D207" s="48" t="n">
        <v>5274</v>
      </c>
      <c r="E207" s="44" t="inlineStr">
        <is>
          <t>美系券商</t>
        </is>
      </c>
      <c r="F207" s="44" t="inlineStr">
        <is>
          <t>• 調降26-27年EPS至$113/$156.7。
• 調降理由是根據Vera Rubin的firmware問題導致專案時程遞延。
• 認為一旦問題解決，預見AST2700將會被更廣泛使用。
• 預期明年AST2600仍會部署，這是產品轉換現象，並不影響長期競爭力。
• 評等維持正向不變。</t>
        </is>
      </c>
      <c r="G207" s="44" t="inlineStr">
        <is>
          <t>#Vera_Rubin #AST2700 #時程遞延</t>
        </is>
      </c>
    </row>
    <row r="208">
      <c r="A208" s="44" t="n">
        <v>207</v>
      </c>
      <c r="B208" s="44" t="inlineStr">
        <is>
          <t>2025/07/17</t>
        </is>
      </c>
      <c r="C208" s="44" t="inlineStr">
        <is>
          <t>欣興</t>
        </is>
      </c>
      <c r="D208" s="48" t="n">
        <v>3037</v>
      </c>
      <c r="E208" s="44" t="inlineStr">
        <is>
          <t>券商觀察</t>
        </is>
      </c>
      <c r="F208" s="44" t="inlineStr">
        <is>
          <t>• 雖維持正向評等不變，但觀察到T-glass短缺恐影響3Q產能利用率及拉貨節奏。
• 需求面上，substrates與HDI皆穩定，高階部分因AI需求旺，產能利用率高。
• 總體而言，預估3Q營收季增幅為0-3%。</t>
        </is>
      </c>
      <c r="G208" s="44" t="inlineStr">
        <is>
          <t>#T-glass短缺 #產能利用率</t>
        </is>
      </c>
    </row>
    <row r="209">
      <c r="A209" s="44" t="n">
        <v>208</v>
      </c>
      <c r="B209" s="44" t="inlineStr">
        <is>
          <t>2025/07/16</t>
        </is>
      </c>
      <c r="C209" s="44" t="inlineStr">
        <is>
          <t>富世達</t>
        </is>
      </c>
      <c r="D209" s="48" t="n">
        <v>6805</v>
      </c>
      <c r="E209" s="44" t="inlineStr">
        <is>
          <t>亞系券商</t>
        </is>
      </c>
      <c r="F209" s="44" t="inlineStr">
        <is>
          <t>• 上修25-27年EPS至$25.5/$41.7/$55，給予30xPE評價。
• 預估下半年業績優於上半年，尤其轉軸及伺服器相關。
• 預估伺服器相關佔營收25%，全年營收增長38%。</t>
        </is>
      </c>
      <c r="G209" s="44" t="inlineStr">
        <is>
          <t>#轉軸 #伺服器佔比25%</t>
        </is>
      </c>
    </row>
    <row r="210">
      <c r="A210" s="44" t="n">
        <v>209</v>
      </c>
      <c r="B210" s="44" t="inlineStr">
        <is>
          <t>2025/07/16</t>
        </is>
      </c>
      <c r="C210" s="44" t="inlineStr">
        <is>
          <t>台光電</t>
        </is>
      </c>
      <c r="D210" s="48" t="n">
        <v>2383</v>
      </c>
      <c r="E210" s="44" t="inlineStr">
        <is>
          <t>美系券商</t>
        </is>
      </c>
      <c r="F210" s="44" t="inlineStr">
        <is>
          <t>• 出具25頁產業大報告，調升台光電、台燿、金像電等獲利預估。
• 上調CCL/PCB的TAM，25年：美金23億/53億，到27年會是80億/174億，CAGR: 88%/80%。
• 明年下半年AI伺服器就會用上M9，持續提升ASP，優於預期。
• 預期M8/M9級CCL滲透率從今年40%→明年70%。
• 高階CCL緊缺、交期拉長至20-30+週。
• 預期台光電+台燿在27年合計能拿下85%市佔率，金像電明年市佔率有6-8成。
• 最新25-26年EPS預估：台光電$46.4/$61、台燿$14/$22.6、金像電$18.4/$30.3。</t>
        </is>
      </c>
      <c r="G210" s="44" t="inlineStr">
        <is>
          <t>#M9 #CCL滲透率70% #市佔85%</t>
        </is>
      </c>
    </row>
    <row r="211">
      <c r="A211" s="44" t="n">
        <v>210</v>
      </c>
      <c r="B211" s="44" t="inlineStr">
        <is>
          <t>2025/07/16</t>
        </is>
      </c>
      <c r="C211" s="44" t="inlineStr">
        <is>
          <t>台燿</t>
        </is>
      </c>
      <c r="D211" s="48" t="n">
        <v>6274</v>
      </c>
      <c r="E211" s="44" t="inlineStr">
        <is>
          <t>美系券商</t>
        </is>
      </c>
      <c r="F211" s="44" t="inlineStr">
        <is>
          <t>• 同台光電產業報告。
• 最新25-26年EPS預估：$14/$22.6。</t>
        </is>
      </c>
      <c r="G211" s="44" t="inlineStr">
        <is>
          <t>#M9 #產業報告</t>
        </is>
      </c>
    </row>
    <row r="212">
      <c r="A212" s="44" t="n">
        <v>211</v>
      </c>
      <c r="B212" s="44" t="inlineStr">
        <is>
          <t>2025/07/16</t>
        </is>
      </c>
      <c r="C212" s="44" t="inlineStr">
        <is>
          <t>金像電</t>
        </is>
      </c>
      <c r="D212" s="48" t="n">
        <v>2368</v>
      </c>
      <c r="E212" s="44" t="inlineStr">
        <is>
          <t>美系券商</t>
        </is>
      </c>
      <c r="F212" s="44" t="inlineStr">
        <is>
          <t>• 同台光電產業報告。
• 明年市佔率有6-8成。
• 最新25-26年EPS預估：$18.4/$30.3。</t>
        </is>
      </c>
      <c r="G212" s="44" t="inlineStr">
        <is>
          <t>#市佔6-8成 #產業報告</t>
        </is>
      </c>
    </row>
    <row r="213">
      <c r="A213" s="44" t="n">
        <v>212</v>
      </c>
      <c r="B213" s="44" t="inlineStr">
        <is>
          <t>2025/07/16</t>
        </is>
      </c>
      <c r="C213" s="44" t="inlineStr">
        <is>
          <t>台達電</t>
        </is>
      </c>
      <c r="D213" s="48" t="n">
        <v>2308</v>
      </c>
      <c r="E213" s="44" t="inlineStr">
        <is>
          <t>亞系券商</t>
        </is>
      </c>
      <c r="F213" s="44" t="inlineStr">
        <is>
          <t>• 認為AI伺服器持續推升毛利率走勢，因高毛利率產品如伺服器BMS、超級電容出貨增加中。
• 觀察到GB300電源模組出貨提早，預估AI伺服器占比從2Q的15-17%拉高到Q3的18-20%。
• 最新預估25-27年EPS: $18.5/$21.4/$25.5，以26xPE評價。</t>
        </is>
      </c>
      <c r="G213" s="44" t="inlineStr">
        <is>
          <t>#BMS #超級電容 #GB300提早</t>
        </is>
      </c>
    </row>
    <row r="214">
      <c r="A214" s="44" t="n">
        <v>213</v>
      </c>
      <c r="B214" s="44" t="inlineStr">
        <is>
          <t>2025/07/16</t>
        </is>
      </c>
      <c r="C214" s="44" t="inlineStr">
        <is>
          <t>信驊</t>
        </is>
      </c>
      <c r="D214" s="48" t="n">
        <v>5274</v>
      </c>
      <c r="E214" s="44" t="inlineStr">
        <is>
          <t>亞系券商</t>
        </is>
      </c>
      <c r="F214" s="44" t="inlineStr">
        <is>
          <t>• 雖維持正向評等不變，但觀察到採用AST2700的Vera Rubin時程有可能延後兩季。
• 預期主要美系客戶拉貨週期會到3Q結束，預期4Q暫歇。
• 最新預估4Q營收季減3成低於市場共識2成。</t>
        </is>
      </c>
      <c r="G214" s="44" t="inlineStr">
        <is>
          <t>#Vera延後兩季 #4Q季減30%</t>
        </is>
      </c>
    </row>
    <row r="215">
      <c r="A215" s="44" t="n">
        <v>214</v>
      </c>
      <c r="B215" s="44" t="inlineStr">
        <is>
          <t>2025/07/15</t>
        </is>
      </c>
      <c r="C215" s="44" t="inlineStr">
        <is>
          <t>全新</t>
        </is>
      </c>
      <c r="D215" s="48" t="n">
        <v>2455</v>
      </c>
      <c r="E215" s="44" t="inlineStr">
        <is>
          <t>美系大行</t>
        </is>
      </c>
      <c r="F215" s="44" t="inlineStr">
        <is>
          <t>• 通路訪查，全新主要供應商已取得InP（磷化銦）基板出口許可。
• 不確定性因素消弭，將有助於相關業務抬升。
• 重申正向評價不變。</t>
        </is>
      </c>
      <c r="G215" s="44" t="inlineStr">
        <is>
          <t>#InP出口許可 #不確定性消除</t>
        </is>
      </c>
    </row>
    <row r="216">
      <c r="A216" s="44" t="n">
        <v>215</v>
      </c>
      <c r="B216" s="44" t="inlineStr">
        <is>
          <t>2025/07/15</t>
        </is>
      </c>
      <c r="C216" s="44" t="inlineStr">
        <is>
          <t>東陽</t>
        </is>
      </c>
      <c r="D216" s="48" t="n">
        <v>1319</v>
      </c>
      <c r="E216" s="44" t="inlineStr">
        <is>
          <t>亞系券商</t>
        </is>
      </c>
      <c r="F216" s="44" t="inlineStr">
        <is>
          <t>• 6月中因匯率因素降評，今調升回來，因6月稅前優於預期。
• 預期東陽市占率持續提升中，營運動能8月後恢復。
• 在ODM及AM市場都是。</t>
        </is>
      </c>
      <c r="G216" s="44" t="inlineStr">
        <is>
          <t>#市占率提升 #ODM #AM</t>
        </is>
      </c>
    </row>
    <row r="217">
      <c r="A217" s="44" t="n">
        <v>216</v>
      </c>
      <c r="B217" s="44" t="inlineStr">
        <is>
          <t>2025/07/15</t>
        </is>
      </c>
      <c r="C217" s="44" t="inlineStr">
        <is>
          <t>聯詠</t>
        </is>
      </c>
      <c r="D217" s="48" t="n">
        <v>3034</v>
      </c>
      <c r="E217" s="44" t="inlineStr">
        <is>
          <t>亞系券商</t>
        </is>
      </c>
      <c r="F217" s="44" t="inlineStr">
        <is>
          <t>• 認為2Q營收不如預期，毛利率/EPS也應會不如預期。
• 觀察7月TV面板報價開始滑落，遇見需求往下。
• 即便進入傳統旺季，品牌廠採購趨於保守，尤其北美品牌更為謹慎。
• 預期3Q營收季增幅4%，低於市場共識8%。
• 下修25-26年EPS。</t>
        </is>
      </c>
      <c r="G217" s="44" t="inlineStr">
        <is>
          <t>#TV面板降價 #品牌廠保守</t>
        </is>
      </c>
    </row>
    <row r="218">
      <c r="A218" s="44" t="n">
        <v>217</v>
      </c>
      <c r="B218" s="44" t="inlineStr">
        <is>
          <t>2025/07/14</t>
        </is>
      </c>
      <c r="C218" s="44" t="inlineStr">
        <is>
          <t>台積電</t>
        </is>
      </c>
      <c r="D218" s="48" t="n">
        <v>2330</v>
      </c>
      <c r="E218" s="44" t="inlineStr">
        <is>
          <t>美系券商</t>
        </is>
      </c>
      <c r="F218" s="44" t="inlineStr">
        <is>
          <t>• 2Q營收若以美元計價，季增幅16%，表現優於預期。
• 前一篇報告已上修全年營收增長27%（美金），所以3Q只要季增1%、4Q持平就能輕鬆達成。
• 3nm需求暢旺，如PC CPU剛砍就被挖礦需求拿走，客戶有在提早因應明年漲價。
• 本週四法說會，提問方向在於明年漲價、匯率、CoWoS產能、中國AI需求、關稅是否有改變客戶下單行為等。
• 券商前陣子路演，很多外國機構投資人關心台積電是否能比照藥廠給予半導體類豁免或緩衝期，券商答案是因其在美投資增加，有望獲政策支持。</t>
        </is>
      </c>
      <c r="G218" s="44" t="inlineStr">
        <is>
          <t>#法說會 #明年漲價 #3nm暢旺</t>
        </is>
      </c>
    </row>
    <row r="219">
      <c r="A219" s="44" t="n">
        <v>218</v>
      </c>
      <c r="B219" s="44" t="inlineStr">
        <is>
          <t>2025/07/14</t>
        </is>
      </c>
      <c r="C219" s="44" t="inlineStr">
        <is>
          <t>富世達</t>
        </is>
      </c>
      <c r="D219" s="48" t="n">
        <v>6805</v>
      </c>
      <c r="E219" s="44" t="inlineStr">
        <is>
          <t>美系券商</t>
        </is>
      </c>
      <c r="F219" s="44" t="inlineStr">
        <is>
          <t>• 預期水冷營收佔比去年3%，預期到27年有29%，提供QD組件給美國CSP。
• 越南還有同步擴廠，以對應客戶需求。
• 手機方面，預期三折機將帶動ASP增長。</t>
        </is>
      </c>
      <c r="G219" s="44" t="inlineStr">
        <is>
          <t>#水冷佔比29% #QD #三折機</t>
        </is>
      </c>
    </row>
    <row r="220">
      <c r="A220" s="44" t="n">
        <v>219</v>
      </c>
      <c r="B220" s="44" t="inlineStr">
        <is>
          <t>2025/07/14</t>
        </is>
      </c>
      <c r="C220" s="44" t="inlineStr">
        <is>
          <t>穩懋</t>
        </is>
      </c>
      <c r="D220" s="48" t="n">
        <v>3105</v>
      </c>
      <c r="E220" s="44" t="inlineStr">
        <is>
          <t>美系券商</t>
        </is>
      </c>
      <c r="F220" s="44" t="inlineStr">
        <is>
          <t>• 認為行業內競爭加劇。
• 下修財務模型及目標。</t>
        </is>
      </c>
      <c r="G220" s="44" t="inlineStr">
        <is>
          <t>#競爭加劇 #降評</t>
        </is>
      </c>
    </row>
    <row r="221">
      <c r="A221" s="44" t="n">
        <v>220</v>
      </c>
      <c r="B221" s="44" t="inlineStr">
        <is>
          <t>2025/07/14</t>
        </is>
      </c>
      <c r="C221" s="44" t="inlineStr">
        <is>
          <t>宏捷科</t>
        </is>
      </c>
      <c r="D221" s="48" t="n">
        <v>8086</v>
      </c>
      <c r="E221" s="44" t="inlineStr">
        <is>
          <t>美系券商</t>
        </is>
      </c>
      <c r="F221" s="44" t="inlineStr">
        <is>
          <t>• 認為行業內競爭加劇。
• 下修財務模型及目標。</t>
        </is>
      </c>
      <c r="G221" s="44" t="inlineStr">
        <is>
          <t>#競爭加劇 #降評</t>
        </is>
      </c>
    </row>
    <row r="222">
      <c r="A222" s="44" t="n">
        <v>221</v>
      </c>
      <c r="B222" s="44" t="inlineStr">
        <is>
          <t>2025/11/11</t>
        </is>
      </c>
      <c r="C222" s="44" t="inlineStr">
        <is>
          <t>緯穎</t>
        </is>
      </c>
      <c r="D222" s="48" t="n">
        <v>6669</v>
      </c>
      <c r="E222" s="44" t="inlineStr">
        <is>
          <t>美系大行</t>
        </is>
      </c>
      <c r="F222" s="44" t="inlineStr">
        <is>
          <t>• 上修25-27年EPS至$272/$300/$358.3，給予2H26-1H27的15xPE評價。
• 3Q毛利率優於預期，顯示ASIC伺服器毛利率優於預期。
• 上調AWS對其2026-2027年營收預期分別9%與15%，以反映次世代Trainium伺服器將於2026年下半年起明顯放量。
• 認為緯穎將成為Meta的主要ODM夥伴，負責AMD推出的MI450系列GPU伺服器機架。
• 預估27年有1,500台MI450，單機價總額約300萬美元或略高。
• 上調微軟對其貢獻，2025-2027年營收貢獻預估上調10%、27%與26%。</t>
        </is>
      </c>
      <c r="G222" s="44" t="inlineStr">
        <is>
          <t>#ASIC #AWS_Trainium #Meta_MI450 #微軟上調</t>
        </is>
      </c>
    </row>
    <row r="223">
      <c r="A223" s="44" t="n">
        <v>222</v>
      </c>
      <c r="B223" s="44" t="inlineStr">
        <is>
          <t>2025/11/11</t>
        </is>
      </c>
      <c r="C223" s="44" t="inlineStr">
        <is>
          <t>華邦電</t>
        </is>
      </c>
      <c r="D223" s="48" t="n">
        <v>2344</v>
      </c>
      <c r="E223" s="44" t="inlineStr">
        <is>
          <t>美系大行</t>
        </is>
      </c>
      <c r="F223" s="44" t="inlineStr">
        <is>
          <t>• 若不含新唐，10月營收為59.35億元，月增12.4%、年增56.7%。
• 本月強勁營收表現與特殊型DRAM與NOR Flash價格上升趨勢一致。
• 維持NOR Flash 4Q漲價5-10%看法不變。
• 重申首選。</t>
        </is>
      </c>
      <c r="G223" s="44" t="inlineStr">
        <is>
          <t>#10月營收年增57% #NOR漲價 #首選</t>
        </is>
      </c>
    </row>
    <row r="224">
      <c r="A224" s="44" t="n">
        <v>223</v>
      </c>
      <c r="B224" s="44" t="inlineStr">
        <is>
          <t>2025/11/11</t>
        </is>
      </c>
      <c r="C224" s="44" t="inlineStr">
        <is>
          <t>台達電</t>
        </is>
      </c>
      <c r="D224" s="48" t="n">
        <v>2308</v>
      </c>
      <c r="E224" s="44" t="inlineStr">
        <is>
          <t>美系大行</t>
        </is>
      </c>
      <c r="F224" s="44" t="inlineStr">
        <is>
          <t>• 10月營收續創歷史新高，且優於預期，預估10月營收季增10%。
• 預期11月營收將月減約5%，因前兩個月為水冷出貨高峰。
• 電源方面，預期1Q26電源營收將續增。
• 重申首選。</t>
        </is>
      </c>
      <c r="G224" s="44" t="inlineStr">
        <is>
          <t>#10月營收新高 #水冷高峰 #首選</t>
        </is>
      </c>
    </row>
    <row r="225">
      <c r="A225" s="44" t="n">
        <v>224</v>
      </c>
      <c r="B225" s="44" t="inlineStr">
        <is>
          <t>2025/11/11</t>
        </is>
      </c>
      <c r="C225" s="44" t="inlineStr">
        <is>
          <t>旺矽</t>
        </is>
      </c>
      <c r="D225" s="48" t="n">
        <v>6223</v>
      </c>
      <c r="E225" s="44" t="inlineStr">
        <is>
          <t>美系券商</t>
        </is>
      </c>
      <c r="F225" s="44" t="inlineStr">
        <is>
          <t>• 3Q毛利率不如預期，因先進半導體測試（AST）業務中零組件短缺，導致設備出貨延遲。
• 預期4Q毛利率回升因短缺緩解。
• 全年：預估營收年增28.1%，毛利率/營業利益率分別為55.7%與28.9%。
• 預期明年營收續增。</t>
        </is>
      </c>
      <c r="G225" s="44" t="inlineStr">
        <is>
          <t>#AST #零組件短缺 #4Q回升</t>
        </is>
      </c>
    </row>
    <row r="226">
      <c r="A226" s="44" t="n">
        <v>225</v>
      </c>
      <c r="B226" s="44" t="inlineStr">
        <is>
          <t>2025/07/11</t>
        </is>
      </c>
      <c r="C226" s="44" t="inlineStr">
        <is>
          <t>愛普</t>
        </is>
      </c>
      <c r="D226" s="48" t="n">
        <v>6531</v>
      </c>
      <c r="E226" s="44" t="inlineStr">
        <is>
          <t>美系大行</t>
        </is>
      </c>
      <c r="F226" s="44" t="inlineStr">
        <is>
          <t>• 今出具65頁產業大報告，講述Wafer-on-Wafer(WoW)堆疊技術將啟動下一世代邊緣AI。
• 可根據不同設計提升記憶體頻寬10-100倍、功耗降低80-90%，且封裝體積小，適合穿戴式與行動裝置，成本遠低於HBM。
• 採用WoW進行Very High Bandwidth Memory（VHM）開發，與HBM2E相比，達到10倍頻寬、90%以上功耗下降。
• 現階段營收雖主要集中於crypto mining，未來隨著Edge AI普及（如智慧手機、AI眼鏡、AI PC），有機會轉向更多消費性電子應用。
• 預估25-27年EPS:$9/$12/$18，以明年16xPE評價。</t>
        </is>
      </c>
      <c r="G226" s="44" t="inlineStr">
        <is>
          <t>#WoW #VHM #Edge_AI #65頁報告</t>
        </is>
      </c>
    </row>
    <row r="227">
      <c r="A227" s="44" t="n">
        <v>226</v>
      </c>
      <c r="B227" s="44" t="inlineStr">
        <is>
          <t>2025/07/11</t>
        </is>
      </c>
      <c r="C227" s="44" t="inlineStr">
        <is>
          <t>華邦電</t>
        </is>
      </c>
      <c r="D227" s="48" t="n">
        <v>2344</v>
      </c>
      <c r="E227" s="44" t="inlineStr">
        <is>
          <t>美系大行</t>
        </is>
      </c>
      <c r="F227" s="44" t="inlineStr">
        <is>
          <t>• 券商對CUBE技術持正面評價。
• CUBE技術已成熟，2層堆疊量產中。
• 4層堆疊預計2-3季內進入商用。</t>
        </is>
      </c>
      <c r="G227" s="44" t="inlineStr">
        <is>
          <t>#CUBE #2層量產 #4層商用</t>
        </is>
      </c>
    </row>
    <row r="228">
      <c r="A228" s="44" t="n">
        <v>227</v>
      </c>
      <c r="B228" s="44" t="inlineStr">
        <is>
          <t>2025/07/11</t>
        </is>
      </c>
      <c r="C228" s="44" t="inlineStr">
        <is>
          <t>南亞科</t>
        </is>
      </c>
      <c r="D228" s="48" t="n">
        <v>2408</v>
      </c>
      <c r="E228" s="44" t="inlineStr">
        <is>
          <t>美系大行</t>
        </is>
      </c>
      <c r="F228" s="44" t="inlineStr">
        <is>
          <t>• 昨日法說會後，維持EW評等不變。
• 雖上調3Q出貨量預期至年增40%以上，毛利率也應可轉正。
• 然考量匯率及製程遷移等因素影響，預期到4Q才能達成損益兩平，低於市場預期。
• DDR5目前佔營收雙位數，16Gb 6400Mbps sampling。</t>
        </is>
      </c>
      <c r="G228" s="44" t="inlineStr">
        <is>
          <t>#法說會 #4Q損益兩平 #DDR5雙位數</t>
        </is>
      </c>
    </row>
    <row r="229">
      <c r="A229" s="44" t="n">
        <v>228</v>
      </c>
      <c r="B229" s="44" t="inlineStr">
        <is>
          <t>2025/07/11</t>
        </is>
      </c>
      <c r="C229" s="44" t="inlineStr">
        <is>
          <t>大立光</t>
        </is>
      </c>
      <c r="D229" s="48" t="n">
        <v>3008</v>
      </c>
      <c r="E229" s="44" t="inlineStr">
        <is>
          <t>美系大行</t>
        </is>
      </c>
      <c r="F229" s="44" t="inlineStr">
        <is>
          <t>• 昨日法說會後，維持正面評價不變。
• 2Q毛利率提升至53.6%，OP也優於預期。
• 預期接下來新機種帶來新的升級。</t>
        </is>
      </c>
      <c r="G229" s="44" t="inlineStr">
        <is>
          <t>#法說會 #毛利率53.6% #新機種</t>
        </is>
      </c>
    </row>
    <row r="230">
      <c r="A230" s="44" t="n">
        <v>229</v>
      </c>
      <c r="B230" s="44" t="inlineStr">
        <is>
          <t>2025/07/09</t>
        </is>
      </c>
      <c r="C230" s="44" t="inlineStr">
        <is>
          <t>貿聯</t>
        </is>
      </c>
      <c r="D230" s="48" t="n">
        <v>3665</v>
      </c>
      <c r="E230" s="44" t="inlineStr">
        <is>
          <t>亞系券商</t>
        </is>
      </c>
      <c r="F230" s="44" t="inlineStr">
        <is>
          <t>• 上修25-27年EPS至$39.6/$50.6/$62.2，以明年20xPE評價。
• 預估AEC營收貢獻增，預期佔今年總營收11%，明年升至18%。
• AEC應用面廣，從車用到伺服器且不斷升級，伴隨市場的TAM長大。</t>
        </is>
      </c>
      <c r="G230" s="44" t="inlineStr">
        <is>
          <t>#AEC #營收佔比18%</t>
        </is>
      </c>
    </row>
    <row r="231">
      <c r="A231" s="44" t="n">
        <v>230</v>
      </c>
      <c r="B231" s="44" t="inlineStr">
        <is>
          <t>2025/07/09</t>
        </is>
      </c>
      <c r="C231" s="44" t="inlineStr">
        <is>
          <t>智邦</t>
        </is>
      </c>
      <c r="D231" s="48" t="n">
        <v>2345</v>
      </c>
      <c r="E231" s="44" t="inlineStr">
        <is>
          <t>美系券商</t>
        </is>
      </c>
      <c r="F231" s="44" t="inlineStr">
        <is>
          <t>• 6月營收續創新高，總計2Q營收季增42%優於預期的17%。
• 預估下半年營收持續增長。
• 預估2Q毛利率受匯率影響落至18.1%。
• AI伺服器及800G switch動能明確，重申正面評價不變。
• 25-27年EPS維持$33.5/$40/$47。</t>
        </is>
      </c>
      <c r="G231" s="44" t="inlineStr">
        <is>
          <t>#6月營收新高 #2Q季增42% #800G</t>
        </is>
      </c>
    </row>
    <row r="232">
      <c r="A232" s="44" t="n">
        <v>231</v>
      </c>
      <c r="B232" s="44" t="inlineStr">
        <is>
          <t>2025/07/08</t>
        </is>
      </c>
      <c r="C232" s="44" t="inlineStr">
        <is>
          <t>奇鋐</t>
        </is>
      </c>
      <c r="D232" s="48" t="n">
        <v>3017</v>
      </c>
      <c r="E232" s="44" t="inlineStr">
        <is>
          <t>美系大行</t>
        </is>
      </c>
      <c r="F232" s="44" t="inlineStr">
        <is>
          <t>• 上修25-27年EPS至$39/$48/$60，以今年23xPE評價。
• 6月營收破百億，再創新猷，總體2Q營收季增27%、年增80%優於預期。
• 展望2H，預期逐季成長，先預估3Q季增2%、年增58%。
• 預估今年營收挑戰年增6成。
• 隨著水冷滲透率提高，認為明年也有清楚的能見度，GB300的水冷產值較200增2成。</t>
        </is>
      </c>
      <c r="G232" s="44" t="inlineStr">
        <is>
          <t>#6月破百億 #2Q年增80% #水冷 #GB300</t>
        </is>
      </c>
    </row>
    <row r="233">
      <c r="A233" s="44" t="n">
        <v>232</v>
      </c>
      <c r="B233" s="44" t="inlineStr">
        <is>
          <t>2025/07/08</t>
        </is>
      </c>
      <c r="C233" s="44" t="inlineStr">
        <is>
          <t>富世達</t>
        </is>
      </c>
      <c r="D233" s="48" t="n">
        <v>6805</v>
      </c>
      <c r="E233" s="44" t="inlineStr">
        <is>
          <t>美系大行</t>
        </is>
      </c>
      <c r="F233" s="44" t="inlineStr">
        <is>
          <t>• 觀察6月營收佔比裡已有3成與伺服器相關（QD、滑軌新案等），高於5月的兩成。
• 預期到27年年營收裡有47%與伺服器相關。
• 預估3Q營收季增10-15%、年增50%。
• 重申正向觀察不變。</t>
        </is>
      </c>
      <c r="G233" s="44" t="inlineStr">
        <is>
          <t>#伺服器佔比30% #27年47% #QD #滑軌</t>
        </is>
      </c>
    </row>
    <row r="234">
      <c r="A234" s="44" t="n">
        <v>233</v>
      </c>
      <c r="B234" s="44" t="inlineStr">
        <is>
          <t>2025/07/08</t>
        </is>
      </c>
      <c r="C234" s="44" t="inlineStr">
        <is>
          <t>研華</t>
        </is>
      </c>
      <c r="D234" s="48" t="n">
        <v>2395</v>
      </c>
      <c r="E234" s="44" t="inlineStr">
        <is>
          <t>美系大行</t>
        </is>
      </c>
      <c r="F234" s="44" t="inlineStr">
        <is>
          <t>• 2Q營收符合預估。
• 展望下半年，雖持續觀察匯率走勢，但預期B/B ratio仍大於1。
• 重申正向評等不變。</t>
        </is>
      </c>
      <c r="G234" s="44" t="inlineStr">
        <is>
          <t>#2Q符合預期 #BB_ratio大於1</t>
        </is>
      </c>
    </row>
    <row r="235">
      <c r="A235" s="44" t="n">
        <v>234</v>
      </c>
      <c r="B235" s="44" t="inlineStr">
        <is>
          <t>2025/07/08</t>
        </is>
      </c>
      <c r="C235" s="44" t="inlineStr">
        <is>
          <t>致茂</t>
        </is>
      </c>
      <c r="D235" s="48" t="n">
        <v>2360</v>
      </c>
      <c r="E235" s="44" t="inlineStr">
        <is>
          <t>美系大行</t>
        </is>
      </c>
      <c r="F235" s="44" t="inlineStr">
        <is>
          <t>• 儘管2Q營收略低於預估，因低毛利率產品如automation equipment、battery等所致。
• 認為下半年有上修空間，因：預期SLT展望優於預期，還有Power testing及Metrology。
• 維持25-27年EPS: $16.5/$18/$20.4。
• 重申正向。</t>
        </is>
      </c>
      <c r="G235" s="44" t="inlineStr">
        <is>
          <t>#SLT #Power_testing #Metrology</t>
        </is>
      </c>
    </row>
    <row r="236">
      <c r="A236" s="44" t="n">
        <v>235</v>
      </c>
      <c r="B236" s="44" t="inlineStr">
        <is>
          <t>2025/07/04</t>
        </is>
      </c>
      <c r="C236" s="44" t="inlineStr">
        <is>
          <t>奇鋐</t>
        </is>
      </c>
      <c r="D236" s="48" t="n">
        <v>3017</v>
      </c>
      <c r="E236" s="44" t="inlineStr">
        <is>
          <t>澳系券商</t>
        </is>
      </c>
      <c r="F236" s="44" t="inlineStr">
        <is>
          <t>• 上修25-27年EPS至$39.3/$53.5/$64，給予明年20xPE評價。
• 觀察ASIC的亞馬遜及Meta明年更多從氣冷轉水冷，奇鋐是主要供應商。
• 預估明年水冷佔總營收跳升至36%（今年24%）。
• 在Nvidia server上，預估明年也有4成以上的市佔率(CSP+DELL)。
• 伺服器機殼（Nvidia/ASIC）與3C散熱專案也將有實質貢獻，且還被市場共識低估。
• 機殼在1Q已佔營收比16%，年增幅84%，優於同業。
• 3C散熱專案：slim VC，將隨著美系客戶下半年新機發表，在4Q放量。</t>
        </is>
      </c>
      <c r="G236" s="44" t="inlineStr">
        <is>
          <t>#水冷36% #市佔40% #機殼年增84% #slim_VC</t>
        </is>
      </c>
    </row>
    <row r="237">
      <c r="A237" s="44" t="n">
        <v>236</v>
      </c>
      <c r="B237" s="44" t="inlineStr">
        <is>
          <t>2025/07/04</t>
        </is>
      </c>
      <c r="C237" s="44" t="inlineStr">
        <is>
          <t>台燿</t>
        </is>
      </c>
      <c r="D237" s="48" t="n">
        <v>6274</v>
      </c>
      <c r="E237" s="44" t="inlineStr">
        <is>
          <t>美系券商</t>
        </is>
      </c>
      <c r="F237" s="44" t="inlineStr">
        <is>
          <t>• 重訊公告今日下午有法說會。
• 預估25-27年EPS為$13/$18/21.5，維持正面評價。
• 指出21-24年有質的轉變，提升ASP 2-3成，預期接下來幾年質與量將繼續提升。
• 首先21-23年擴的是M4/M6，這波AI及networking要的是更高階，所以不會有產能過剩問題。
• 泰國廠今年產能已達300k/月，3Q目前為100-150k，預計4Q達滿載，明年目標擴至600k。
• 認為台燿推進台灣-泰國間的產線轉移與平衡運作，以提升產線彈性與交付能力。</t>
        </is>
      </c>
      <c r="G237" s="44" t="inlineStr">
        <is>
          <t>#法說會 #ASP增2-3成 #泰國廠600k</t>
        </is>
      </c>
    </row>
    <row r="238">
      <c r="A238" s="44" t="n">
        <v>237</v>
      </c>
      <c r="B238" s="44" t="inlineStr">
        <is>
          <t>2025/07/04</t>
        </is>
      </c>
      <c r="C238" s="44" t="inlineStr">
        <is>
          <t>台達電</t>
        </is>
      </c>
      <c r="D238" s="48" t="n">
        <v>2308</v>
      </c>
      <c r="E238" s="44" t="inlineStr">
        <is>
          <t>美系券商</t>
        </is>
      </c>
      <c r="F238" s="44" t="inlineStr">
        <is>
          <t>• 上修25-27年EPS至$15.4/$22.9/$27.2，給予2H25-1H26的28xPE評價。
• 上修Q2 EPS預估至NT$4.53（高於市場平均4.33元）。
• 毛利率/營益率預估分別為34.1%/13.7%，優於市場預期的32.6%/12.7%。
• 資料中心伺服器功耗上升（120kW→300kW→600kW），推升對高瓦數電源模組與液冷解決方案需求。
• 台達電是領導廠商，能提供客戶完整解決方案。</t>
        </is>
      </c>
      <c r="G238" s="44" t="inlineStr">
        <is>
          <t>#2Q_EPS_4.53 #功耗升至600kW</t>
        </is>
      </c>
    </row>
    <row r="239">
      <c r="A239" s="44" t="n">
        <v>238</v>
      </c>
      <c r="B239" s="44" t="inlineStr">
        <is>
          <t>2025/07/04</t>
        </is>
      </c>
      <c r="C239" s="44" t="inlineStr">
        <is>
          <t>力積電</t>
        </is>
      </c>
      <c r="D239" s="48" t="n">
        <v>6770</v>
      </c>
      <c r="E239" s="44" t="inlineStr">
        <is>
          <t>美系大行</t>
        </is>
      </c>
      <c r="F239" s="44" t="inlineStr">
        <is>
          <t>• 估算：就算Navitas的GaN(650V solution)全轉來到力積電，也僅多貢獻27年1-2%的營收。
• 目前還在認證中。
• Navitas的800V也還沒一個譜。
• 維持EW。</t>
        </is>
      </c>
      <c r="G239" s="44" t="inlineStr">
        <is>
          <t>#GaN #Navitas #認證中</t>
        </is>
      </c>
    </row>
    <row r="240">
      <c r="A240" s="44" t="n">
        <v>239</v>
      </c>
      <c r="B240" s="44" t="inlineStr">
        <is>
          <t>2025/07/03</t>
        </is>
      </c>
      <c r="C240" s="44" t="inlineStr">
        <is>
          <t>新日興</t>
        </is>
      </c>
      <c r="D240" s="48" t="n">
        <v>3376</v>
      </c>
      <c r="E240" s="44" t="inlineStr">
        <is>
          <t>美系券商</t>
        </is>
      </c>
      <c r="F240" s="44" t="inlineStr">
        <is>
          <t>• 上修25-27年EPS至$7.6/$12.4/$17.2，以明年26xPE評價。
• 預估7-8月營收有望分別月增6%。
• 摺疊手機滲透率逐步攀升，新日興擁有自有的金屬射出成型（MIM）與R&amp;D能力。
• 蘇州擴產也預計在明年1Q完成。
• 除了手機之外，觀察也在往AI伺服器及AR眼鏡發展。</t>
        </is>
      </c>
      <c r="G240" s="44" t="inlineStr">
        <is>
          <t>#MIM #摺疊手機 #AI伺服器 #AR眼鏡</t>
        </is>
      </c>
    </row>
    <row r="241">
      <c r="A241" s="44" t="n">
        <v>240</v>
      </c>
      <c r="B241" s="44" t="inlineStr">
        <is>
          <t>2025/07/03</t>
        </is>
      </c>
      <c r="C241" s="44" t="inlineStr">
        <is>
          <t>萬潤</t>
        </is>
      </c>
      <c r="D241" s="48" t="n">
        <v>6187</v>
      </c>
      <c r="E241" s="44" t="inlineStr">
        <is>
          <t>美系大行</t>
        </is>
      </c>
      <c r="F241" s="44" t="inlineStr">
        <is>
          <t>• 雖維持EW評等，但上修目標。
• 預估25-27年EPS: $23.2/$15.7/$9.3。
• 上修台積電明年CoWoS至93k wpm，而萬潤是oS的獨供。
• Rubin系列的heat sink維持Graphene，消弭外界疑慮。
• 關於WMCM，台積電在今年底要建置10k以符合明年需求，到27年產能會擴至50k。
• Apple不光用在摺疊手機需求，還包括HBM及其他AI所需功能。</t>
        </is>
      </c>
      <c r="G241" s="44" t="inlineStr">
        <is>
          <t>#CoWoS_93k #oS獨供 #WMCM #Graphene</t>
        </is>
      </c>
    </row>
    <row r="242">
      <c r="A242" s="44" t="n">
        <v>241</v>
      </c>
      <c r="B242" s="44" t="inlineStr">
        <is>
          <t>2025/07/03</t>
        </is>
      </c>
      <c r="C242" s="44" t="inlineStr">
        <is>
          <t>旺矽</t>
        </is>
      </c>
      <c r="D242" s="48" t="n">
        <v>6223</v>
      </c>
      <c r="E242" s="44" t="inlineStr">
        <is>
          <t>美系券商</t>
        </is>
      </c>
      <c r="F242" s="44" t="inlineStr">
        <is>
          <t>• 重申預估25-27年EPS$34/$44/$58。
• 因客戶導入更多先進封裝設計（如chiplet架構），且針腳數（pin count）上升。
• 儘管預期VPC明年擴產小於MEMS，但VPC在1Q25已擴至1.2M from 900k。
• MEMS：3Q: 600k，到年底要擴至1m，明年double。</t>
        </is>
      </c>
      <c r="G242" s="44" t="inlineStr">
        <is>
          <t>#chiplet #VPC_1.2M #MEMS</t>
        </is>
      </c>
    </row>
    <row r="243">
      <c r="A243" s="44" t="n">
        <v>242</v>
      </c>
      <c r="B243" s="44" t="inlineStr">
        <is>
          <t>2025/07/02</t>
        </is>
      </c>
      <c r="C243" s="44" t="inlineStr">
        <is>
          <t>緯創</t>
        </is>
      </c>
      <c r="D243" s="48" t="n">
        <v>3231</v>
      </c>
      <c r="E243" s="44" t="inlineStr">
        <is>
          <t>美系大行</t>
        </is>
      </c>
      <c r="F243" s="44" t="inlineStr">
        <is>
          <t>• 維持6月初看法不變：針對美系CSP的GB200訂單，緯創提供L10 compute tray，廣達是L11組裝與測試。
• 預期明年該客戶會下更多訂單，商業模式也會改變成大家自行處理compute tray、組裝與測試。
• 此舉可以減少L10與L11拆分所引發的不必要爭議。
• 至於明年L11的訂單分配，認為該CSP有諸多供應鏈來源，目前尚未有能見度。
• 維持正面評價不變。</t>
        </is>
      </c>
      <c r="G243" s="44" t="inlineStr">
        <is>
          <t>#L10 #商業模式改變</t>
        </is>
      </c>
    </row>
    <row r="244">
      <c r="A244" s="44" t="n">
        <v>243</v>
      </c>
      <c r="B244" s="44" t="inlineStr">
        <is>
          <t>2025/07/02</t>
        </is>
      </c>
      <c r="C244" s="44" t="inlineStr">
        <is>
          <t>緯穎</t>
        </is>
      </c>
      <c r="D244" s="48" t="n">
        <v>6669</v>
      </c>
      <c r="E244" s="44" t="inlineStr">
        <is>
          <t>美系大行</t>
        </is>
      </c>
      <c r="F244" s="44" t="inlineStr">
        <is>
          <t>• 維持6月初看法不變：針對美系CSP的GB200訂單，緯創提供L10 compute tray，廣達是L11組裝與測試。
• 預期明年該客戶會下更多訂單，商業模式也會改變成大家自行處理compute tray、組裝與測試。
• 維持正面評價不變。</t>
        </is>
      </c>
      <c r="G244" s="44" t="inlineStr">
        <is>
          <t>#GB200 #供應鏈</t>
        </is>
      </c>
    </row>
    <row r="245">
      <c r="A245" s="44" t="n">
        <v>244</v>
      </c>
      <c r="B245" s="44" t="inlineStr">
        <is>
          <t>2025/07/02</t>
        </is>
      </c>
      <c r="C245" s="44" t="inlineStr">
        <is>
          <t>廣達</t>
        </is>
      </c>
      <c r="D245" s="48" t="n">
        <v>2382</v>
      </c>
      <c r="E245" s="44" t="inlineStr">
        <is>
          <t>美系大行</t>
        </is>
      </c>
      <c r="F245" s="44" t="inlineStr">
        <is>
          <t>• 維持6月初看法不變：針對美系CSP的GB200訂單，緯創提供L10 compute tray，廣達是L11組裝與測試。
• 預期明年該客戶會下更多訂單，商業模式也會改變成大家自行處理compute tray、組裝與測試。
• 至於明年L11的訂單分配，認為該CSP有諸多供應鏈來源，目前尚未有能見度。
• 維持正面評價不變。</t>
        </is>
      </c>
      <c r="G245" s="44" t="inlineStr">
        <is>
          <t>#L11 #組裝測試</t>
        </is>
      </c>
    </row>
    <row r="246">
      <c r="A246" s="44" t="n">
        <v>245</v>
      </c>
      <c r="B246" s="44" t="inlineStr">
        <is>
          <t>2025/07/01</t>
        </is>
      </c>
      <c r="C246" s="44" t="inlineStr">
        <is>
          <t>台達電</t>
        </is>
      </c>
      <c r="D246" s="48" t="n">
        <v>2308</v>
      </c>
      <c r="E246" s="44" t="inlineStr">
        <is>
          <t>亞系券商</t>
        </is>
      </c>
      <c r="F246" s="44" t="inlineStr">
        <is>
          <t>• 上修25-27年EPS至$18.4/$21.7/$24.4，以23xPE評價。
• 在電源供應管理上，觀察從23-25年的轉變是從uni-level to shelf-level，年底客戶也將陸續採用rack-level（BBU+超級電容+水冷散熱）。
• 趨勢是電源集中化，以降低冗餘率與總體成本，預估未來1瓦電力價值約可提升至0.10美元（USD），高於目前中階電源管理方案。
• 27年下半年的Rubin Ultra將採用高壓直流（HVDC）800V power rack。
• 預期明年就能透過12kW電源模組（競爭對手僅8kW）取得更多市佔率。
• 預估今年電源產品相關營收：
  - AI server power supplies：台幣400億
  - BBU：台幣100億
  - sidecar components：台幣250億</t>
        </is>
      </c>
      <c r="G246" s="44" t="inlineStr">
        <is>
          <t>#rack-level #HVDC_800V #12kW #電源750億</t>
        </is>
      </c>
    </row>
    <row r="247">
      <c r="A247" s="44" t="n">
        <v>246</v>
      </c>
      <c r="B247" s="44" t="inlineStr">
        <is>
          <t>2025/06/26</t>
        </is>
      </c>
      <c r="C247" s="44" t="inlineStr">
        <is>
          <t>台達電</t>
        </is>
      </c>
      <c r="D247" s="48" t="n">
        <v>2308</v>
      </c>
      <c r="E247" s="44" t="inlineStr">
        <is>
          <t>亞系券商</t>
        </is>
      </c>
      <c r="F247" s="44" t="inlineStr">
        <is>
          <t>• 反應匯率，修正25-26年EPS至$19.6/$23.5，以明年21xPE評價。
• 預期3Q營收季增高個位數，高於市場共識的2%。
• 水冷案續強。
• 電源管理方面：GB200到GB300，電源功率升級到12kW，提高ASP。
• 相信台達電是最早參與Kyber架構電源方案的廠商之一。</t>
        </is>
      </c>
      <c r="G247" s="44" t="inlineStr">
        <is>
          <t>#12kW #Kyber #水冷</t>
        </is>
      </c>
    </row>
    <row r="248">
      <c r="A248" s="44" t="n">
        <v>247</v>
      </c>
      <c r="B248" s="44" t="inlineStr">
        <is>
          <t>2025/06/26</t>
        </is>
      </c>
      <c r="C248" s="44" t="inlineStr">
        <is>
          <t>廣達</t>
        </is>
      </c>
      <c r="D248" s="48" t="n">
        <v>2382</v>
      </c>
      <c r="E248" s="44" t="inlineStr">
        <is>
          <t>澳系券商</t>
        </is>
      </c>
      <c r="F248" s="44" t="inlineStr">
        <is>
          <t>• 維持25年$19，上修明後年至$25.5/$29.9，給予明年16xPE評價。
• 短中期看到GB系列帶動下半年營收提升，預期GB系列貢獻今年總營收佔比25-30%，量10k。
• 最重要的是，4Q開始加入Meta，明後年放量，認為廣達是主供。
• 另外微軟及甲骨文也有潛在市佔率提升的機會。</t>
        </is>
      </c>
      <c r="G248" s="44" t="inlineStr">
        <is>
          <t>#Meta主供 #GB佔比25-30% #微軟甲骨文</t>
        </is>
      </c>
    </row>
    <row r="249">
      <c r="A249" s="44" t="n">
        <v>248</v>
      </c>
      <c r="B249" s="44" t="inlineStr">
        <is>
          <t>2025/06/26</t>
        </is>
      </c>
      <c r="C249" s="44" t="inlineStr">
        <is>
          <t>信驊</t>
        </is>
      </c>
      <c r="D249" s="48" t="n">
        <v>5274</v>
      </c>
      <c r="E249" s="44" t="inlineStr">
        <is>
          <t>美系券商</t>
        </is>
      </c>
      <c r="F249" s="44" t="inlineStr">
        <is>
          <t>• 預估3Q營收季增5%，優於市場共識的-0.5~1.4%。
• 拉貨動能來自北美CSP，中國這邊暫歇。
• 高階BMC佔比增加，有望推升3Q毛利率至66-67%。
• 預估25-27年EPS$86.2/$128/$168，以2H26-1H27的45xPE評價。</t>
        </is>
      </c>
      <c r="G249" s="44" t="inlineStr">
        <is>
          <t>#北美CSP #毛利率67% #高階BMC</t>
        </is>
      </c>
    </row>
    <row r="250">
      <c r="A250" s="44" t="n">
        <v>249</v>
      </c>
      <c r="B250" s="44" t="inlineStr">
        <is>
          <t>2025/06/26</t>
        </is>
      </c>
      <c r="C250" s="44" t="inlineStr">
        <is>
          <t>金像電</t>
        </is>
      </c>
      <c r="D250" s="48" t="n">
        <v>2368</v>
      </c>
      <c r="E250" s="44" t="inlineStr">
        <is>
          <t>亞系券商</t>
        </is>
      </c>
      <c r="F250" s="44" t="inlineStr">
        <is>
          <t>• 上修財務模型，同時提高PE評價。
• 觀察M8等級CCL開始被廣泛導入在AWS Trainium2、Google TPU、Meta MTIA等。
• 觀察中階CCL有可能在接下來季度裡漲價。</t>
        </is>
      </c>
      <c r="G250" s="44" t="inlineStr">
        <is>
          <t>#M8 #CCL漲價 #AWS_TPU_MTIA</t>
        </is>
      </c>
    </row>
    <row r="251">
      <c r="A251" s="44" t="n">
        <v>250</v>
      </c>
      <c r="B251" s="44" t="inlineStr">
        <is>
          <t>2025/06/26</t>
        </is>
      </c>
      <c r="C251" s="44" t="inlineStr">
        <is>
          <t>台光電</t>
        </is>
      </c>
      <c r="D251" s="48" t="n">
        <v>2383</v>
      </c>
      <c r="E251" s="44" t="inlineStr">
        <is>
          <t>亞系券商</t>
        </is>
      </c>
      <c r="F251" s="44" t="inlineStr">
        <is>
          <t>• 上修財務模型，同時提高PE評價。
• 觀察M8等級CCL開始被廣泛導入在AWS Trainium2、Google TPU、Meta MTIA等。
• 觀察中階CCL有可能在接下來季度裡漲價。
• 上游Low Dk/Df原料方面，台光電都有確保到所需產能。</t>
        </is>
      </c>
      <c r="G251" s="44" t="inlineStr">
        <is>
          <t>#M8 #CCL漲價 #Low_Dk產能</t>
        </is>
      </c>
    </row>
    <row r="252">
      <c r="A252" s="44" t="n">
        <v>251</v>
      </c>
      <c r="B252" s="44" t="inlineStr">
        <is>
          <t>2025/06/26</t>
        </is>
      </c>
      <c r="C252" s="44" t="inlineStr">
        <is>
          <t>台燿</t>
        </is>
      </c>
      <c r="D252" s="48" t="n">
        <v>6274</v>
      </c>
      <c r="E252" s="44" t="inlineStr">
        <is>
          <t>亞系券商</t>
        </is>
      </c>
      <c r="F252" s="44" t="inlineStr">
        <is>
          <t>• 上修財務模型，同時提高PE評價。
• 觀察M8等級CCL開始被廣泛導入在AWS Trainium2、Google TPU、Meta MTIA等。
• 觀察中階CCL有可能在接下來季度裡漲價。
• 上游Low Dk/Df原料方面，台燿都有確保到所需產能。
• 看到單子真的很滿，認為台燿受惠外溢單及新伺服器導入。</t>
        </is>
      </c>
      <c r="G252" s="44" t="inlineStr">
        <is>
          <t>#M8 #外溢單 #訂單滿載</t>
        </is>
      </c>
    </row>
    <row r="253">
      <c r="A253" s="44" t="n">
        <v>252</v>
      </c>
      <c r="B253" s="44" t="inlineStr">
        <is>
          <t>2025/06/26</t>
        </is>
      </c>
      <c r="C253" s="44" t="inlineStr">
        <is>
          <t>聯茂</t>
        </is>
      </c>
      <c r="D253" s="48" t="n">
        <v>6213</v>
      </c>
      <c r="E253" s="44" t="inlineStr">
        <is>
          <t>亞系券商</t>
        </is>
      </c>
      <c r="F253" s="44" t="inlineStr">
        <is>
          <t>• 上修財務模型，同時提高PE評價。
• 觀察M8等級CCL開始被廣泛導入在AWS Trainium2、Google TPU、Meta MTIA等。
• 觀察中階CCL有可能在接下來季度裡漲價。</t>
        </is>
      </c>
      <c r="G253" s="44" t="inlineStr">
        <is>
          <t>#M8 #CCL漲價</t>
        </is>
      </c>
    </row>
    <row r="254">
      <c r="A254" s="44" t="n">
        <v>253</v>
      </c>
      <c r="B254" s="44" t="inlineStr">
        <is>
          <t>2025/06/26</t>
        </is>
      </c>
      <c r="C254" s="44" t="inlineStr">
        <is>
          <t>華邦電</t>
        </is>
      </c>
      <c r="D254" s="48" t="n">
        <v>2344</v>
      </c>
      <c r="E254" s="44" t="inlineStr">
        <is>
          <t>美系大行</t>
        </is>
      </c>
      <c r="F254" s="44" t="inlineStr">
        <is>
          <t>• 一口升評至OW，以今年1.3xPB評價。
• 認為DDR4在下半年將迎來上升週期，情境類似2017年NOR漲價。
• 且認為連低密度（&lt;4Gb）都有可能漲。
• 8GB記憶體模組也可以透過4Gb x16的配置來實現，例如應用於網通設備。
• 此外認為SLC NAND報價上漲、NOR有望跟進。</t>
        </is>
      </c>
      <c r="G254" s="44" t="inlineStr">
        <is>
          <t>#DDR4上升週期 #升評OW #NOR漲價</t>
        </is>
      </c>
    </row>
    <row r="255">
      <c r="A255" s="44" t="n">
        <v>254</v>
      </c>
      <c r="B255" s="44" t="inlineStr">
        <is>
          <t>2025/06/26</t>
        </is>
      </c>
      <c r="C255" s="44" t="inlineStr">
        <is>
          <t>萬潤</t>
        </is>
      </c>
      <c r="D255" s="48" t="n">
        <v>6187</v>
      </c>
      <c r="E255" s="44" t="inlineStr">
        <is>
          <t>美系券商</t>
        </is>
      </c>
      <c r="F255" s="44" t="inlineStr">
        <is>
          <t>• 認為CoWoS、SoIC等新型先進封裝平台的需求能見度正在提升。
• TAM主要來自台積電封裝用的年度資本支出，此外還有OSAT廠的跟進。
• 初評給予正向評等。</t>
        </is>
      </c>
      <c r="G255" s="44" t="inlineStr">
        <is>
          <t>#CoWoS #SoIC #初評</t>
        </is>
      </c>
    </row>
    <row r="256">
      <c r="A256" s="44" t="n">
        <v>255</v>
      </c>
      <c r="B256" s="44" t="inlineStr">
        <is>
          <t>2025/06/26</t>
        </is>
      </c>
      <c r="C256" s="44" t="inlineStr">
        <is>
          <t>弘塑</t>
        </is>
      </c>
      <c r="D256" s="48" t="n">
        <v>3131</v>
      </c>
      <c r="E256" s="44" t="inlineStr">
        <is>
          <t>美系券商</t>
        </is>
      </c>
      <c r="F256" s="44" t="inlineStr">
        <is>
          <t>• 認為CoWoS、SoIC等新型先進封裝平台的需求能見度正在提升。
• TAM主要來自台積電封裝用的年度資本支出，此外還有OSAT廠的跟進。
• 初評給予正向評等。</t>
        </is>
      </c>
      <c r="G256" s="44" t="inlineStr">
        <is>
          <t>#CoWoS #SoIC #初評</t>
        </is>
      </c>
    </row>
    <row r="257">
      <c r="A257" s="44" t="n">
        <v>256</v>
      </c>
      <c r="B257" s="44" t="inlineStr">
        <is>
          <t>2025/06/25</t>
        </is>
      </c>
      <c r="C257" s="44" t="inlineStr">
        <is>
          <t>富世達</t>
        </is>
      </c>
      <c r="D257" s="48" t="n">
        <v>6805</v>
      </c>
      <c r="E257" s="44" t="inlineStr">
        <is>
          <t>美系大行</t>
        </is>
      </c>
      <c r="F257" s="44" t="inlineStr">
        <is>
          <t>• 首評給予正面評等，預估25-27年EPS:$28/$45/$63，給予明年23xPE評價。
• 認為手機轉軸業務也受惠明年愛瘋把市場打開，伴隨市場成長。
• 但最主成長在於伺服器業務。GPU &amp; ASIC server要用的floating mount and QD，預估4年CAGR 14%，到27年營收有望達77億。
• 另外伺服器滑軌及機器人工業減速器未來可期。
• 預估伺服器業務到27年營收佔比達47%。</t>
        </is>
      </c>
      <c r="G257" s="44" t="inlineStr">
        <is>
          <t>#初評 #伺服器47% #CAGR14%</t>
        </is>
      </c>
    </row>
    <row r="258">
      <c r="A258" s="44" t="n">
        <v>257</v>
      </c>
      <c r="B258" s="44" t="inlineStr">
        <is>
          <t>2025/06/25</t>
        </is>
      </c>
      <c r="C258" s="44" t="inlineStr">
        <is>
          <t>台光電</t>
        </is>
      </c>
      <c r="D258" s="48" t="n">
        <v>2383</v>
      </c>
      <c r="E258" s="44" t="inlineStr">
        <is>
          <t>亞系券商</t>
        </is>
      </c>
      <c r="F258" s="44" t="inlineStr">
        <is>
          <t>• 上修25-27年EPS:$43/$52.7/$61。
• 觀察世芯、博通、Marvell三家公司的ASIC營收在23-27年CAGR達96%。
• 推升CCL用量，如NVDA的24層、AWS Tr2的26層等。
• 該產業持續升級，上游原料緊缺，需求若渴且無新的競爭者加入。
• 外界有點多慮產能及定價。</t>
        </is>
      </c>
      <c r="G258" s="44" t="inlineStr">
        <is>
          <t>#ASIC_CAGR96% #CCL升級 #原料緊缺</t>
        </is>
      </c>
    </row>
    <row r="259">
      <c r="A259" s="44" t="n">
        <v>258</v>
      </c>
      <c r="B259" s="44" t="inlineStr">
        <is>
          <t>2025/06/25</t>
        </is>
      </c>
      <c r="C259" s="44" t="inlineStr">
        <is>
          <t>台燿</t>
        </is>
      </c>
      <c r="D259" s="48" t="n">
        <v>6274</v>
      </c>
      <c r="E259" s="44" t="inlineStr">
        <is>
          <t>亞系券商</t>
        </is>
      </c>
      <c r="F259" s="44" t="inlineStr">
        <is>
          <t>• 上修25-27年EPS:$12.5/$17.5/$21.4。
• 觀察世芯、博通、Marvell三家公司的ASIC營收在23-27年CAGR達96%。
• 推升CCL用量，如NVDA的24層、AWS Tr2的26層等。
• 該產業持續升級，上游原料緊缺，需求若渴且無新的競爭者加入。</t>
        </is>
      </c>
      <c r="G259" s="44" t="inlineStr">
        <is>
          <t>#ASIC_CAGR96% #CCL升級</t>
        </is>
      </c>
    </row>
    <row r="260">
      <c r="A260" s="44" t="n">
        <v>259</v>
      </c>
      <c r="B260" s="44" t="inlineStr">
        <is>
          <t>2025/06/25</t>
        </is>
      </c>
      <c r="C260" s="44" t="inlineStr">
        <is>
          <t>聯茂</t>
        </is>
      </c>
      <c r="D260" s="48" t="n">
        <v>6213</v>
      </c>
      <c r="E260" s="44" t="inlineStr">
        <is>
          <t>亞系券商</t>
        </is>
      </c>
      <c r="F260" s="44" t="inlineStr">
        <is>
          <t>• 上修25-27年EPS:$5.1/$6.4/$7.6。
• 觀察世芯、博通、Marvell三家公司的ASIC營收在23-27年CAGR達96%。
• 推升CCL用量，如NVDA的24層、AWS Tr2的26層等。
• 該產業持續升級，上游原料緊缺，需求若渴且無新的競爭者加入。</t>
        </is>
      </c>
      <c r="G260" s="44" t="inlineStr">
        <is>
          <t>#ASIC_CAGR96% #CCL升級</t>
        </is>
      </c>
    </row>
    <row r="261">
      <c r="A261" s="44" t="n">
        <v>260</v>
      </c>
      <c r="B261" s="44" t="inlineStr">
        <is>
          <t>2025/06/23</t>
        </is>
      </c>
      <c r="C261" s="44" t="inlineStr">
        <is>
          <t>全新</t>
        </is>
      </c>
      <c r="D261" s="48" t="n">
        <v>2455</v>
      </c>
      <c r="E261" s="44" t="inlineStr">
        <is>
          <t>美系券商</t>
        </is>
      </c>
      <c r="F261" s="44" t="inlineStr">
        <is>
          <t>• 儘管2Q受到匯率及InP基板出口管制影響，但認為隨著出口許可恢復，預期下半年表現優於過往季節性表現。
• 其中，手機PA客戶市佔率提升，資料中心需求強勁（涵蓋接收與傳送元件）、以及WiFi路由器朝向WiFi 7轉移帶動的需求成長。
• 預期25-27年EPS:$5.2/$7.1/$9.4。
• 重申正向評等不變。</t>
        </is>
      </c>
      <c r="G261" s="44" t="inlineStr">
        <is>
          <t>#InP許可恢復 #WiFi7 #資料中心</t>
        </is>
      </c>
    </row>
    <row r="262">
      <c r="A262" s="44" t="n">
        <v>261</v>
      </c>
      <c r="B262" s="44" t="inlineStr">
        <is>
          <t>2025/06/20</t>
        </is>
      </c>
      <c r="C262" s="44" t="inlineStr">
        <is>
          <t>富世達</t>
        </is>
      </c>
      <c r="D262" s="48" t="n">
        <v>6805</v>
      </c>
      <c r="E262" s="44" t="inlineStr">
        <is>
          <t>亞系券商</t>
        </is>
      </c>
      <c r="F262" s="44" t="inlineStr">
        <is>
          <t>• 上修25-27年EPS，並給予30xPE評價。
• Hinges業務下半年動能強勁，因有3款摺疊新機發表（市佔率5成）v.s.上半年只有一款，預估該業務年增10-20%。
• 在伺服器上也大有斬獲，產品有sides、floating mounts、and QD，預估今年能貢獻營收達2成（去年僅5%）。
• 總的而言，預估全年總營收成長2-3成，上修2Q營收季增10-15% from 5-10%，動能延續到3Q。</t>
        </is>
      </c>
      <c r="G262" s="44" t="inlineStr">
        <is>
          <t>#摺疊機市佔5成 #伺服器20% #營收增2-3成</t>
        </is>
      </c>
    </row>
    <row r="263">
      <c r="A263" s="44" t="n">
        <v>262</v>
      </c>
      <c r="B263" s="44" t="inlineStr">
        <is>
          <t>2025/06/19</t>
        </is>
      </c>
      <c r="C263" s="44" t="inlineStr">
        <is>
          <t>奇鋐</t>
        </is>
      </c>
      <c r="D263" s="48" t="n">
        <v>3017</v>
      </c>
      <c r="E263" s="44" t="inlineStr">
        <is>
          <t>亞系券商</t>
        </is>
      </c>
      <c r="F263" s="44" t="inlineStr">
        <is>
          <t>• 上修25-26年EPS至$39/$44，維持27年$49，以明年20xPE評價。
• 預估2Q營收季增24%，其中GB200拉貨順暢，3Q還有GB300，有望重新議價所以匯率帶來的衝擊可控。
• 另外ASIC客戶將轉進水冷，預期帶進獲利增長。
• 此外，研發腳步不停歇，有two-phase cooling、vapour chamber lid solution等。</t>
        </is>
      </c>
      <c r="G263" s="44" t="inlineStr">
        <is>
          <t>#GB300 #ASIC水冷 #two-phase</t>
        </is>
      </c>
    </row>
    <row r="264">
      <c r="A264" s="44" t="n">
        <v>263</v>
      </c>
      <c r="B264" s="44" t="inlineStr">
        <is>
          <t>2025/06/19</t>
        </is>
      </c>
      <c r="C264" s="44" t="inlineStr">
        <is>
          <t>瑞昱</t>
        </is>
      </c>
      <c r="D264" s="48" t="n">
        <v>2379</v>
      </c>
      <c r="E264" s="44" t="inlineStr">
        <is>
          <t>美系大行</t>
        </is>
      </c>
      <c r="F264" s="44" t="inlineStr">
        <is>
          <t>• 下調25年至$32，但上修26-27年至$35/$39.8，給予明年18xPE評價。
• 車用乙太網路受惠中國國產化趨勢，預估在27年取得15-20%市占率。
• 然後PC audio codec and Ethernet下半年維持高毛利率，此領域競爭者較少，且預估PC 3Q出貨量季持平。</t>
        </is>
      </c>
      <c r="G264" s="44" t="inlineStr">
        <is>
          <t>#車用乙太網路 #中國國產化 #市佔15-20%</t>
        </is>
      </c>
    </row>
    <row r="265">
      <c r="A265" s="44" t="n">
        <v>264</v>
      </c>
      <c r="B265" s="44" t="inlineStr">
        <is>
          <t>2025/06/18</t>
        </is>
      </c>
      <c r="C265" s="44" t="inlineStr">
        <is>
          <t>聯亞</t>
        </is>
      </c>
      <c r="D265" s="48" t="n">
        <v>3081</v>
      </c>
      <c r="E265" s="44" t="inlineStr">
        <is>
          <t>美系券商</t>
        </is>
      </c>
      <c r="F265" s="44" t="inlineStr">
        <is>
          <t>• 重申SiPh營收貢獻將在2025/2026年達到77%/87%（vs. 2024年的42%）。
• 產業趨勢上，維持對800G SiPh CW雷射增長的正面評估。
• 近期InP供應商取得出口許可，觀察聯亞將會透過分散供應商及庫存槓桿運用（2吋升級至3吋）來分散地緣風險。
• 維持預估25-27年EPS: $5.98/$10.5/$18.2。
• 重申正向評等不變。</t>
        </is>
      </c>
      <c r="G265" s="44" t="inlineStr">
        <is>
          <t>#SiPh佔比87% #InP許可 #800G</t>
        </is>
      </c>
    </row>
    <row r="266">
      <c r="A266" s="44" t="n">
        <v>265</v>
      </c>
      <c r="B266" s="44" t="inlineStr">
        <is>
          <t>2025/06/17</t>
        </is>
      </c>
      <c r="C266" s="44" t="inlineStr">
        <is>
          <t>台積電</t>
        </is>
      </c>
      <c r="D266" s="48" t="n">
        <v>2330</v>
      </c>
      <c r="E266" s="44" t="inlineStr">
        <is>
          <t>美系大行</t>
        </is>
      </c>
      <c r="F266" s="44" t="inlineStr">
        <is>
          <t>• 考量匯率因素，認為每1%匯率變動，影響毛利率40bps。
• 下修下半年毛利率區間至55-56% from 58-59%，下修今明年EPS至$55/$64.6。
• 維持目標不變，因觀察台幣升值與台積電的PE評價及外資持股是正相關。
• 展望明年，預期美國廠漲價超過1成，其他廠漲價3-5%不等。
• Intel NovaLake的CPU與GPU還是會找台積電的2奈米代工。
• AI相關營收成長3-4成、資本支出維持400億美金、營收成長2成目標不變。
• 重申正向評等。</t>
        </is>
      </c>
      <c r="G266" s="44" t="inlineStr">
        <is>
          <t>#明年漲價 #美國廠漲1成+ #2nm_NovaLake</t>
        </is>
      </c>
    </row>
    <row r="267">
      <c r="A267" s="44" t="n">
        <v>266</v>
      </c>
      <c r="B267" s="44" t="inlineStr">
        <is>
          <t>2025/06/16</t>
        </is>
      </c>
      <c r="C267" s="44" t="inlineStr">
        <is>
          <t>聯發科</t>
        </is>
      </c>
      <c r="D267" s="48" t="n">
        <v>2454</v>
      </c>
      <c r="E267" s="44" t="inlineStr">
        <is>
          <t>美系大行</t>
        </is>
      </c>
      <c r="F267" s="44" t="inlineStr">
        <is>
          <t>• 認為市場過度擔憂美系客戶TPU進度。
• 通路訪查認為TPU compute die的tape out時間落在8月中，而非市場傳言的9月底，而且I/O die已經taped out了。
• 客戶會用在訓練，而且是v8p，而非市場傳的v7e。
• 接下來認為聯發科也會取得2nm TPU(可能取名為v9)雖不確定是否為獨供，但至少營收貢獻能延續到2028年。
• 預估明年TPU貢獻聯發科營收美金10億，後年翻倍到20-30億美金。
• 重申正向評等不變。</t>
        </is>
      </c>
      <c r="G267" s="44" t="inlineStr">
        <is>
          <t>#TPU_v8p #8月tape_out #明年10億美金</t>
        </is>
      </c>
    </row>
    <row r="268">
      <c r="A268" s="44" t="n">
        <v>267</v>
      </c>
      <c r="B268" s="44" t="inlineStr">
        <is>
          <t>2025/06/16</t>
        </is>
      </c>
      <c r="C268" s="44" t="inlineStr">
        <is>
          <t>全新</t>
        </is>
      </c>
      <c r="D268" s="48" t="n">
        <v>2455</v>
      </c>
      <c r="E268" s="44" t="inlineStr">
        <is>
          <t>亞系券商</t>
        </is>
      </c>
      <c r="F268" s="44" t="inlineStr">
        <is>
          <t>• 雖以匯率為由下修25-26年EPS至$3.8/$5.6，但給予未來四季度的27xPE評價。
• 800G光收發器在一般型及ASIC伺服器都在積極導入中。
• 同時AXT得到許可重啟磷化銦（InP）基板出口。
• 預估3Q營收有望季增3成。
• 全年維持雙位數成長不變，重申正向評等。</t>
        </is>
      </c>
      <c r="G268" s="44" t="inlineStr">
        <is>
          <t>#800G #InP許可 #3Q季增30%</t>
        </is>
      </c>
    </row>
    <row r="269">
      <c r="A269" s="44" t="n">
        <v>268</v>
      </c>
      <c r="B269" s="44" t="inlineStr">
        <is>
          <t>2025/06/16</t>
        </is>
      </c>
      <c r="C269" s="44" t="inlineStr">
        <is>
          <t>東陽</t>
        </is>
      </c>
      <c r="D269" s="48" t="n">
        <v>1319</v>
      </c>
      <c r="E269" s="44" t="inlineStr">
        <is>
          <t>亞系券商</t>
        </is>
      </c>
      <c r="F269" s="44" t="inlineStr">
        <is>
          <t>• 預估25-27年EPS為$6.6/$8.3/$9.2，改給予16xPE評價。
• 認為雖然股息殖利率超過4%，不過目前交易在17xPE接近歷史上緣。
• 而且2-3季為傳統淡季，就算關稅與匯率夾擊影響，東陽也每10天重新報價，但認為AM客戶也不至於因此加單。</t>
        </is>
      </c>
      <c r="G269" s="44" t="inlineStr">
        <is>
          <t>#淡季 #PE歷史高點 #降目標</t>
        </is>
      </c>
    </row>
    <row r="270">
      <c r="A270" s="44" t="n">
        <v>269</v>
      </c>
      <c r="B270" s="44" t="inlineStr">
        <is>
          <t>2025/06/13</t>
        </is>
      </c>
      <c r="C270" s="44" t="inlineStr">
        <is>
          <t>鴻準</t>
        </is>
      </c>
      <c r="D270" s="48" t="n">
        <v>2354</v>
      </c>
      <c r="E270" s="44" t="inlineStr">
        <is>
          <t>美系大行</t>
        </is>
      </c>
      <c r="F270" s="44" t="inlineStr">
        <is>
          <t>• 認為Switch2為因應關稅問題，去年底就開始積極備貨。
• 鴻準作為唯一組裝廠並提供散熱等零組件，認為已反應在營收表現上。
• 然認為BoM cost高，營運槓桿低。
• 預估25-27年EPS為$3/$3.6/$3.7，後續買氣還要觀察。
• 維持UW評等不變。</t>
        </is>
      </c>
      <c r="G270" s="44" t="inlineStr">
        <is>
          <t>#Switch2 #營運槓桿低 #維持UW</t>
        </is>
      </c>
    </row>
    <row r="271">
      <c r="A271" s="44" t="n">
        <v>270</v>
      </c>
      <c r="B271" s="44" t="inlineStr">
        <is>
          <t>2025/06/12</t>
        </is>
      </c>
      <c r="C271" s="44" t="inlineStr">
        <is>
          <t>技嘉</t>
        </is>
      </c>
      <c r="D271" s="48" t="n">
        <v>2376</v>
      </c>
      <c r="E271" s="44" t="inlineStr">
        <is>
          <t>美系券商</t>
        </is>
      </c>
      <c r="F271" s="44" t="inlineStr">
        <is>
          <t>• 上修25-27年EPS至$19.8/$24.6/$27.5，給予今年14xPE評價。
• 觀察VGA熱銷。
• AI server方面：Tier2 CSP及enterprise也很積極。
• 預估今年營收成長2成。</t>
        </is>
      </c>
      <c r="G271" s="44" t="inlineStr">
        <is>
          <t>#VGA熱銷 #Tier2_CSP #營收增20%</t>
        </is>
      </c>
    </row>
    <row r="272">
      <c r="A272" s="44" t="n">
        <v>271</v>
      </c>
      <c r="B272" s="44" t="inlineStr">
        <is>
          <t>2025/06/12</t>
        </is>
      </c>
      <c r="C272" s="44" t="inlineStr">
        <is>
          <t>聯發科</t>
        </is>
      </c>
      <c r="D272" s="48" t="n">
        <v>2454</v>
      </c>
      <c r="E272" s="44" t="inlineStr">
        <is>
          <t>亞系券商</t>
        </is>
      </c>
      <c r="F272" s="44" t="inlineStr">
        <is>
          <t>• 下修明年EPS至$69.5，反應明年ASIC營收減少（預估減少3成）。
• 認為原因在於，儘管聯發科已完成224G SerDes設計，但客戶端內部尚須修改，因此會遞延1-2個月，預期量產時間改落在明年4Q。
• 同時主要競爭對手高通也於6/9收購Alphawave，也希望強化SerDes。
• 目前這塊領域佈局的有聯發科、Marvell、Broadcom、Synopsys、Cadence、Alphawave。</t>
        </is>
      </c>
      <c r="G272" s="44" t="inlineStr">
        <is>
          <t>#SerDes遞延 #高通收購Alphawave #中性</t>
        </is>
      </c>
    </row>
    <row r="273">
      <c r="A273" s="44" t="n">
        <v>272</v>
      </c>
      <c r="B273" s="44" t="inlineStr">
        <is>
          <t>2025/06/11</t>
        </is>
      </c>
      <c r="C273" s="44" t="inlineStr">
        <is>
          <t>台達電</t>
        </is>
      </c>
      <c r="D273" s="48" t="n">
        <v>2308</v>
      </c>
      <c r="E273" s="44" t="inlineStr">
        <is>
          <t>美系券商</t>
        </is>
      </c>
      <c r="F273" s="44" t="inlineStr">
        <is>
          <t>• 儘管受到匯率牽制，但仍繳出月增的五月營收成績單，QTD達成預估數的65%。
• 預期6月營收續增，同時預估2Q毛利率趨勢向上至32.5%，增0.7個百分點。
• 月營收結構裡，Infra年增49%、Power electronic年增13%（GB200出貨中）。
• 預估AI server power及水冷相關是今年成長動能，持續性有望維持到4Q。
• 維持OW評等不變。</t>
        </is>
      </c>
      <c r="G273" s="44" t="inlineStr">
        <is>
          <t>#5月營收增 #毛利率32.5% #Infra年增49%</t>
        </is>
      </c>
    </row>
    <row r="274">
      <c r="A274" s="44" t="n">
        <v>273</v>
      </c>
      <c r="B274" s="44" t="inlineStr">
        <is>
          <t>2025/06/10</t>
        </is>
      </c>
      <c r="C274" s="44" t="inlineStr">
        <is>
          <t>技嘉</t>
        </is>
      </c>
      <c r="D274" s="48" t="n">
        <v>2376</v>
      </c>
      <c r="E274" s="44" t="inlineStr">
        <is>
          <t>美系大行</t>
        </is>
      </c>
      <c r="F274" s="44" t="inlineStr">
        <is>
          <t>• QTD達成預估數的96%。
• 認為這反應90天關稅豁免的急單，所以預期6月的月增幅會微降。
• 不過，還是重申正面評價不變。</t>
        </is>
      </c>
      <c r="G274" s="44" t="inlineStr">
        <is>
          <t>#關稅豁免急單 #Top_Pick</t>
        </is>
      </c>
    </row>
    <row r="275">
      <c r="A275" s="44" t="n">
        <v>274</v>
      </c>
      <c r="B275" s="44" t="inlineStr">
        <is>
          <t>2025/06/10</t>
        </is>
      </c>
      <c r="C275" s="44" t="inlineStr">
        <is>
          <t>信驊</t>
        </is>
      </c>
      <c r="D275" s="48" t="n">
        <v>5274</v>
      </c>
      <c r="E275" s="44" t="inlineStr">
        <is>
          <t>美系大行</t>
        </is>
      </c>
      <c r="F275" s="44" t="inlineStr">
        <is>
          <t>• 今將信驊評等升至Overweight。
• 上修25-27年EPS至$88.6/$112.5/$140.8，給予今年56xPE評價。
• 預期北美CSP CAPEX明後年持續強勁成長。
• 今年上半年因DeepSeek等推論需求帶動一般型伺服器成長。
• 預期下半年RTX 600 PRO及PCIe GPU server（2～6顆卡）需求往上，同步帶動資安等需求。</t>
        </is>
      </c>
      <c r="G275" s="44" t="inlineStr">
        <is>
          <t>#升評OW #推論需求 #RTX_600_PRO</t>
        </is>
      </c>
    </row>
    <row r="276">
      <c r="A276" s="44" t="n">
        <v>275</v>
      </c>
      <c r="B276" s="44" t="inlineStr">
        <is>
          <t>2025/06/10</t>
        </is>
      </c>
      <c r="C276" s="44" t="inlineStr">
        <is>
          <t>元太</t>
        </is>
      </c>
      <c r="D276" s="48" t="n">
        <v>8069</v>
      </c>
      <c r="E276" s="44" t="inlineStr">
        <is>
          <t>美系大行</t>
        </is>
      </c>
      <c r="F276" s="44" t="inlineStr">
        <is>
          <t>• QTD營收達成預估數的59%，表現不如預期。
• 短期內沒看到任何動能，且預期下半年營收可能持續下探。
• 維持EW評等不變。</t>
        </is>
      </c>
      <c r="G276" s="44" t="inlineStr">
        <is>
          <t>#營收不如預期 #動能疲弱 #維持EW</t>
        </is>
      </c>
    </row>
    <row r="277">
      <c r="A277" s="44" t="n">
        <v>276</v>
      </c>
      <c r="B277" s="44" t="inlineStr">
        <is>
          <t>2025/05/26</t>
        </is>
      </c>
      <c r="C277" s="44" t="inlineStr">
        <is>
          <t>旺矽</t>
        </is>
      </c>
      <c r="D277" s="48" t="n">
        <v>6223</v>
      </c>
      <c r="E277" s="44" t="inlineStr">
        <is>
          <t>美系券商</t>
        </is>
      </c>
      <c r="F277" s="44" t="inlineStr">
        <is>
          <t>• 初評給予正向評等，預估25-27年EPS: $30.6/$38.8/$51，給予明年25xPE評價。
• 認為測試標準更嚴苛，以確保晶圓與晶片的良率。
• 測試介面將朝向更多針腳、更高速度、更嚴格公差發展，從而帶動探針卡與插座ASP翻倍。
• 同時因在地優勢，預期市佔率到27年上升至10-14%，且該市場的TAM還在持續長大。</t>
        </is>
      </c>
      <c r="G277" s="44" t="inlineStr">
        <is>
          <t>#初評 #ASP翻倍 #市佔10-14%</t>
        </is>
      </c>
    </row>
    <row r="278">
      <c r="A278" s="44" t="n">
        <v>277</v>
      </c>
      <c r="B278" s="44" t="inlineStr">
        <is>
          <t>2025/05/26</t>
        </is>
      </c>
      <c r="C278" s="44" t="inlineStr">
        <is>
          <t>穎崴</t>
        </is>
      </c>
      <c r="D278" s="48" t="n">
        <v>6515</v>
      </c>
      <c r="E278" s="44" t="inlineStr">
        <is>
          <t>美系券商</t>
        </is>
      </c>
      <c r="F278" s="44" t="inlineStr">
        <is>
          <t>• 初評給予正向評等，預估25-27年EPS: $50.9/$62.4/$84.3，給予明年23xPE評價。
• 認為測試標準更嚴苛，以確保晶圓與晶片的良率。
• 測試介面將朝向更多針腳、更高速度、更嚴格公差發展，從而帶動探針卡與插座ASP翻倍。
• 同時因在地優勢，預期市佔率到27年上升至10-14%，且該市場的TAM還在持續長大。</t>
        </is>
      </c>
      <c r="G278" s="44" t="inlineStr">
        <is>
          <t>#初評 #ASP翻倍 #市佔10-14%</t>
        </is>
      </c>
    </row>
    <row r="279">
      <c r="A279" s="44" t="n">
        <v>278</v>
      </c>
      <c r="B279" s="44" t="inlineStr">
        <is>
          <t>2025/05/28</t>
        </is>
      </c>
      <c r="C279" s="44" t="inlineStr">
        <is>
          <t>緯創</t>
        </is>
      </c>
      <c r="D279" s="48" t="n">
        <v>3231</v>
      </c>
      <c r="E279" s="44" t="inlineStr">
        <is>
          <t>美系大行</t>
        </is>
      </c>
      <c r="F279" s="44" t="inlineStr">
        <is>
          <t>• 上修美系企業客戶今年system-level的rack到5.2k from 4K。
• Top Pick從緯穎挪給技嘉。</t>
        </is>
      </c>
      <c r="G279" s="44" t="inlineStr">
        <is>
          <t>#rack_5.2k #升目標</t>
        </is>
      </c>
    </row>
    <row r="280">
      <c r="A280" s="44" t="n">
        <v>279</v>
      </c>
      <c r="B280" s="44" t="inlineStr">
        <is>
          <t>2025/05/28</t>
        </is>
      </c>
      <c r="C280" s="44" t="inlineStr">
        <is>
          <t>緯穎</t>
        </is>
      </c>
      <c r="D280" s="48" t="n">
        <v>6669</v>
      </c>
      <c r="E280" s="44" t="inlineStr">
        <is>
          <t>亞系券商</t>
        </is>
      </c>
      <c r="F280" s="44" t="inlineStr">
        <is>
          <t>• 調高25-27年EPS至$177.5/$200/$247。
• 觀察到AWS T2動能延續到明年上半年，尤其4Q還要出high density的Ultra版本。
• 至於GB200，看到更多order win，其中包括Oracle擴大採購。
• 預期緯穎3Q開始compute tray組裝，有望助今明年營收多增加6/10%。</t>
        </is>
      </c>
      <c r="G280" s="44" t="inlineStr">
        <is>
          <t>#T2_Ultra #Oracle #3Q組裝</t>
        </is>
      </c>
    </row>
    <row r="281">
      <c r="A281" s="44" t="n">
        <v>280</v>
      </c>
      <c r="B281" s="44" t="inlineStr">
        <is>
          <t>2025/05/28</t>
        </is>
      </c>
      <c r="C281" s="44" t="inlineStr">
        <is>
          <t>廣達</t>
        </is>
      </c>
      <c r="D281" s="48" t="n">
        <v>2382</v>
      </c>
      <c r="E281" s="44" t="inlineStr">
        <is>
          <t>美系大行</t>
        </is>
      </c>
      <c r="F281" s="44" t="inlineStr">
        <is>
          <t>• 上修rack-level出貨量到9.5k from 8k。</t>
        </is>
      </c>
      <c r="G281" s="44" t="inlineStr">
        <is>
          <t>#rack_9.5k #升目標</t>
        </is>
      </c>
    </row>
    <row r="282">
      <c r="A282" s="44" t="n">
        <v>281</v>
      </c>
      <c r="B282" s="44" t="inlineStr">
        <is>
          <t>2025/05/28</t>
        </is>
      </c>
      <c r="C282" s="44" t="inlineStr">
        <is>
          <t>技嘉</t>
        </is>
      </c>
      <c r="D282" s="48" t="n">
        <v>2376</v>
      </c>
      <c r="E282" s="44" t="inlineStr">
        <is>
          <t>美系大行</t>
        </is>
      </c>
      <c r="F282" s="44" t="inlineStr">
        <is>
          <t>• Top Pick從緯穎挪給技嘉。
• 所持理由在於從Q1已看出毛利率有所進步，尤其高毛利率的顯卡熱銷，預期50系列動能延續到2-3季。
• AI server客戶多元，有分散到企業客戶及客製化的。
• 最後，若以明年EPS來看目前僅交易在11xPE，價值面具吸引力。</t>
        </is>
      </c>
      <c r="G282" s="44" t="inlineStr">
        <is>
          <t>#Top_Pick #50系列 #PE僅11x</t>
        </is>
      </c>
    </row>
    <row r="283">
      <c r="A283" s="44" t="n">
        <v>282</v>
      </c>
      <c r="B283" s="44" t="inlineStr">
        <is>
          <t>2025/05/28</t>
        </is>
      </c>
      <c r="C283" s="44" t="inlineStr">
        <is>
          <t>富世達</t>
        </is>
      </c>
      <c r="D283" s="48" t="n">
        <v>6805</v>
      </c>
      <c r="E283" s="44" t="inlineStr">
        <is>
          <t>美系券商</t>
        </is>
      </c>
      <c r="F283" s="44" t="inlineStr">
        <is>
          <t>• 維持預估25-27年EPS:$30/$43.6/$58.5，給予明年19xPE評價。
• 預期Nvidia下一代的rack-level server所要用到的QD是GB200/300的3倍，而ASIC server是GB200/300的7倍。
• 摺疊手機部分，華為現在全球市占率來到51%，1Q出貨量來到2.2M，3、4月份華為及聯想都有新機，有望支撐富世達2Q營收。
• 下半年還有更多高端的摺疊機問世。</t>
        </is>
      </c>
      <c r="G283" s="44" t="inlineStr">
        <is>
          <t>#QD_3-7倍 #華為市佔51% #摺疊機</t>
        </is>
      </c>
    </row>
    <row r="284">
      <c r="A284" s="44" t="n">
        <v>283</v>
      </c>
      <c r="B284" s="44" t="inlineStr">
        <is>
          <t>2025/05/29</t>
        </is>
      </c>
      <c r="C284" s="44" t="inlineStr">
        <is>
          <t>台光電</t>
        </is>
      </c>
      <c r="D284" s="48" t="n">
        <v>2383</v>
      </c>
      <c r="E284" s="44" t="inlineStr">
        <is>
          <t>亞系券商</t>
        </is>
      </c>
      <c r="F284" s="44" t="inlineStr">
        <is>
          <t>• 上修25-27年EPS至$43.6/$48.7，預估27年$51.3，給予明年20xPE評價。
• 觀察台光電的客戶結構去年以Nvidia為主，今年變得更分散多元，預期非Nvidia客戶今年營收獲利會超過5成。
• 除了AWS T2動能延續到明年上半年外，預估台光電在Google市佔率持續上升。
• 新客戶Meta首批CCL出貨預期在今年3Q，且是有規模意義的量。
• 擴產進度：黃石廠300k/月已於本月投產、馬來西亞廠600k/月8月投產、中山廠600k/月今年底投產。</t>
        </is>
      </c>
      <c r="G284" s="44" t="inlineStr">
        <is>
          <t>#客戶多元化 #Meta_3Q #擴產</t>
        </is>
      </c>
    </row>
    <row r="285">
      <c r="A285" s="44" t="n">
        <v>284</v>
      </c>
      <c r="B285" s="44" t="inlineStr">
        <is>
          <t>2025/06/02</t>
        </is>
      </c>
      <c r="C285" s="44" t="inlineStr">
        <is>
          <t>緯創</t>
        </is>
      </c>
      <c r="D285" s="48" t="n">
        <v>3231</v>
      </c>
      <c r="E285" s="44" t="inlineStr">
        <is>
          <t>美系券商</t>
        </is>
      </c>
      <c r="F285" s="44" t="inlineStr">
        <is>
          <t>• 最新預估25-27年EPS:$7.8/$10/$10.7，以14.6xPE評價，微升目標。
• 看到擴大從GPU module、baseboard、compute board、motherboard到system，推升營收往上。
• 第二，緯穎在客戶端的滲透率也在上升。
• 第三，主要客戶也在成長。</t>
        </is>
      </c>
      <c r="G285" s="44" t="inlineStr">
        <is>
          <t>#產品線擴大 #滲透率上升</t>
        </is>
      </c>
    </row>
    <row r="286">
      <c r="A286" s="44" t="n">
        <v>285</v>
      </c>
      <c r="B286" s="44" t="inlineStr">
        <is>
          <t>2025/06/02</t>
        </is>
      </c>
      <c r="C286" s="44" t="inlineStr">
        <is>
          <t>保瑞</t>
        </is>
      </c>
      <c r="D286" s="48" t="n">
        <v>6472</v>
      </c>
      <c r="E286" s="44" t="inlineStr">
        <is>
          <t>美系券商</t>
        </is>
      </c>
      <c r="F286" s="44" t="inlineStr">
        <is>
          <t>• 預估25-27年EPS:$33.2/$49.5/$69，給予未來12個月的18xPE評價。
• 認為現在僅0.6xPER，低於區域同業的0.9x-1.8x。
• 肯定保瑞是CDMO及藥品銷售的新星。
• 21-24年的淨利透過併購與產品優化成長四倍，預估25-27年EPS CAGR 3成。
• 成長動能來自：1.透過開發新客戶與擴充產能推動CDMO業務管線成長；2.優化藥品銷售組合；3.對從Vigafyde取得的新藥獲益。
• 在美國擴CDMO降低地緣風險。</t>
        </is>
      </c>
      <c r="G286" s="44" t="inlineStr">
        <is>
          <t>#初評 #CDMO #EPS_CAGR30%</t>
        </is>
      </c>
    </row>
    <row r="287">
      <c r="A287" s="44" t="n">
        <v>286</v>
      </c>
      <c r="B287" s="44" t="inlineStr">
        <is>
          <t>2025/06/03</t>
        </is>
      </c>
      <c r="C287" s="44" t="inlineStr">
        <is>
          <t>台燿</t>
        </is>
      </c>
      <c r="D287" s="48" t="n">
        <v>6274</v>
      </c>
      <c r="E287" s="44" t="inlineStr">
        <is>
          <t>亞系券商</t>
        </is>
      </c>
      <c r="F287" s="44" t="inlineStr">
        <is>
          <t>• 上修25-27年EPS至$11.3/$14.6/$17.4，給予明年17xPE評價，現在僅交易在11xPE。
• 認為台燿也是少數幾家能供M7/M8級CCL的廠商，1Q25即開始供M8。
• 認為5月營收可能受到匯率影響，但產業仍屬供不應求的狀態。
• 上修2Q稼動率到超過9成，預期下半年持續暢旺，預期毛利率趨勢逐季走揚；2Q-4Q為：22.7%/23.3%/24%。</t>
        </is>
      </c>
      <c r="G287" s="44" t="inlineStr">
        <is>
          <t>#M8 #稼動率9成+ #毛利率走揚</t>
        </is>
      </c>
    </row>
    <row r="288">
      <c r="A288" s="44" t="n">
        <v>287</v>
      </c>
      <c r="B288" s="44" t="inlineStr">
        <is>
          <t>2025/06/03</t>
        </is>
      </c>
      <c r="C288" s="44" t="inlineStr">
        <is>
          <t>川湖</t>
        </is>
      </c>
      <c r="D288" s="48" t="n">
        <v>2059</v>
      </c>
      <c r="E288" s="44" t="inlineStr">
        <is>
          <t>美系券商</t>
        </is>
      </c>
      <c r="F288" s="44" t="inlineStr">
        <is>
          <t>• 上修25-27年EPS至$97.5/$127/$149，後年毛利率預估到74%，給予19xPE評價。
• 預期今年稼動率近100%，明年上到130%。
• 近期一般型伺服器也有復甦。</t>
        </is>
      </c>
      <c r="G288" s="44" t="inlineStr">
        <is>
          <t>#稼動率100% #明年130% #毛利率74%</t>
        </is>
      </c>
    </row>
    <row r="289">
      <c r="A289" s="44" t="n">
        <v>288</v>
      </c>
      <c r="B289" s="44" t="inlineStr">
        <is>
          <t>2025/06/04</t>
        </is>
      </c>
      <c r="C289" s="44" t="inlineStr">
        <is>
          <t>奇鋐</t>
        </is>
      </c>
      <c r="D289" s="48" t="n">
        <v>3017</v>
      </c>
      <c r="E289" s="44" t="inlineStr">
        <is>
          <t>美系券商</t>
        </is>
      </c>
      <c r="F289" s="44" t="inlineStr">
        <is>
          <t>• 調升25-26年EPS至$37.4/$41，給予明年20xPE評價。
• 觀察隨著水冷散熱在GB系列良率提升，再加上ASIC server正向需求不變。
• 認為匯率影響可控，所以在財務模型調高毛利率及OPM預估。
• 重申正向評等不變。</t>
        </is>
      </c>
      <c r="G289" s="44" t="inlineStr">
        <is>
          <t>#水冷良率提升 #ASIC需求 #匯率可控</t>
        </is>
      </c>
    </row>
    <row r="290">
      <c r="A290" s="44" t="n">
        <v>289</v>
      </c>
      <c r="B290" s="44" t="inlineStr">
        <is>
          <t>2025/06/04</t>
        </is>
      </c>
      <c r="C290" s="44" t="inlineStr">
        <is>
          <t>貿聯</t>
        </is>
      </c>
      <c r="D290" s="48" t="n">
        <v>3665</v>
      </c>
      <c r="E290" s="44" t="inlineStr">
        <is>
          <t>美系大行</t>
        </is>
      </c>
      <c r="F290" s="44" t="inlineStr">
        <is>
          <t>• 從Credo財報，維持對貿聯正向看法不變，維持25-27年EPS: $39.8/$47.8/$55.3。
• Credo的財報及展望皆優於預期，管理層認為NVLink Fusion打開AEC新的機會，不管是在GPU server還是ASIC server市場上都是。
• 同時提到，接下來還會新增2個hyperscalers客戶。
• 認為對合作夥伴貿聯是正向，尤其AI帶動高速傳輸及電源連接器需求成長。</t>
        </is>
      </c>
      <c r="G290" s="44" t="inlineStr">
        <is>
          <t>#Credo #NVLink_Fusion #2個新客戶</t>
        </is>
      </c>
    </row>
    <row r="291">
      <c r="A291" s="44" t="n">
        <v>290</v>
      </c>
      <c r="B291" s="44" t="inlineStr">
        <is>
          <t>2025/06/05</t>
        </is>
      </c>
      <c r="C291" s="44" t="inlineStr">
        <is>
          <t>緯創</t>
        </is>
      </c>
      <c r="D291" s="48" t="n">
        <v>3231</v>
      </c>
      <c r="E291" s="44" t="inlineStr">
        <is>
          <t>美系券商</t>
        </is>
      </c>
      <c r="F291" s="44" t="inlineStr">
        <is>
          <t>• 5月營收一舉超過2000億，QTD達成預估數85%，表現大幅優於預期，券商們都認為2Q還有上修空間。
• 不過美系大行認為同業未必有如此月增幅，原因在於緯創出是L10的compute tray，而同業出L11的rack，後者的組裝跟測試需要花更多時間。
• 美系券商觀察美系客戶拉貨順暢，原本就預估5-6月份會拉500-1000組GB200，顯示出貨節奏符合預期。
• 接下來還有Oracle及Cisco等新案要推出。
• 券商強調AI基礎佈建並非線形走勢，但對緯創而言，AI伺服器的獲利能力已超越NB。</t>
        </is>
      </c>
      <c r="G291" s="44" t="inlineStr">
        <is>
          <t>#5月破2000億 #L10優勢 #Oracle_Cisco</t>
        </is>
      </c>
    </row>
    <row r="292">
      <c r="A292" s="44" t="n">
        <v>291</v>
      </c>
      <c r="B292" s="44" t="inlineStr">
        <is>
          <t>2025/06/05</t>
        </is>
      </c>
      <c r="C292" s="44" t="inlineStr">
        <is>
          <t>台達電</t>
        </is>
      </c>
      <c r="D292" s="48" t="n">
        <v>2308</v>
      </c>
      <c r="E292" s="44" t="inlineStr">
        <is>
          <t>美系大行</t>
        </is>
      </c>
      <c r="F292" s="44" t="inlineStr">
        <is>
          <t>• 雖下修25-27年EPS至$16.2/$18.7/$20.1，但給予今年30xPE評價。
• 上調的主要理由在於台達電與Nvidia合作新的電力解決方案：800V HVDC，每櫃的產值是現在GB200的10倍，且解決空間及銅線過載問題。
• 主要會應用在2027年的Rubin Ultra（基於Kyber架構，效率提升5%、銅線減少45%、維護成本降低70%）。
• 而在此之前，電力方案升級不停歇，比方今年GB300有50V DC獨立電源機櫃，明年再推出800V DC電源機櫃。
• 據此，因升級趨勢明確，技術領先，上調目標。</t>
        </is>
      </c>
      <c r="G292" s="44" t="inlineStr">
        <is>
          <t>#800V_HVDC #產值10倍 #Rubin_Ultra</t>
        </is>
      </c>
    </row>
    <row r="293">
      <c r="A293" s="44" t="n">
        <v>292</v>
      </c>
      <c r="B293" s="44" t="inlineStr">
        <is>
          <t>2025/06/06</t>
        </is>
      </c>
      <c r="C293" s="44" t="inlineStr">
        <is>
          <t>奇鋐</t>
        </is>
      </c>
      <c r="D293" s="48" t="n">
        <v>3017</v>
      </c>
      <c r="E293" s="44" t="inlineStr">
        <is>
          <t>美系大行</t>
        </is>
      </c>
      <c r="F293" s="44" t="inlineStr">
        <is>
          <t>• 五月營收創下歷史新高，上修25-27年EPS:$37.8/$45/$54.9，以今年22xPE評價。
• 認為2Q營收有望上修至季增20-25%，若以出貨量來看，3Q季持平到小增，4Q續增。
• 目前在GB系列cold plate市占率達7成。
• 但更重要的是另個主要客戶目前T2是氣冷，接下來的T2.5/T3，會用水冷。</t>
        </is>
      </c>
      <c r="G293" s="44" t="inlineStr">
        <is>
          <t>#5月營收新高 #市佔7成 #T2.5水冷</t>
        </is>
      </c>
    </row>
    <row r="294">
      <c r="A294" s="44" t="n">
        <v>293</v>
      </c>
      <c r="B294" s="44" t="inlineStr">
        <is>
          <t>2025/06/06</t>
        </is>
      </c>
      <c r="C294" s="44" t="inlineStr">
        <is>
          <t>台光電</t>
        </is>
      </c>
      <c r="D294" s="48" t="n">
        <v>2383</v>
      </c>
      <c r="E294" s="44" t="inlineStr">
        <is>
          <t>美系券商</t>
        </is>
      </c>
      <c r="F294" s="44" t="inlineStr">
        <is>
          <t>• 兩家5月營收開出後，認為都有受到匯率波動影響，但認為不影響產業地位跟升級趨勢。
• 在800G/1.6T switch的CCL兩家共取得超過8成市佔率（台光電主要），在ASIC市場也是如此。
• 預期6月台光電營收年增42%，台燿20%，7月續增。
• 上修台光電25-27年EPS:$43.2/$51:$60.5。</t>
        </is>
      </c>
      <c r="G294" s="44" t="inlineStr">
        <is>
          <t>#市佔8成 #6月年增42% #升目標</t>
        </is>
      </c>
    </row>
    <row r="295">
      <c r="A295" s="44" t="n">
        <v>294</v>
      </c>
      <c r="B295" s="44" t="inlineStr">
        <is>
          <t>2025/06/06</t>
        </is>
      </c>
      <c r="C295" s="44" t="inlineStr">
        <is>
          <t>台燿</t>
        </is>
      </c>
      <c r="D295" s="48" t="n">
        <v>6274</v>
      </c>
      <c r="E295" s="44" t="inlineStr">
        <is>
          <t>美系券商</t>
        </is>
      </c>
      <c r="F295" s="44" t="inlineStr">
        <is>
          <t>• 兩家5月營收開出後，認為都有受到匯率波動影響，但認為不影響產業地位跟升級趨勢。
• 在800G/1.6T switch的CCL兩家共取得超過8成市佔率（台光電主要），在ASIC市場也是如此。
• 預期6月台光電營收年增42%，台燿20%，7月續增。
• 上修台燿至$13.8/$20/$25.7。</t>
        </is>
      </c>
      <c r="G295" s="44" t="inlineStr">
        <is>
          <t>#市佔8成 #6月年增20% #升目標</t>
        </is>
      </c>
    </row>
    <row r="296">
      <c r="A296" s="44" t="n">
        <v>295</v>
      </c>
      <c r="B296" s="44" t="inlineStr">
        <is>
          <t>2025/06/06</t>
        </is>
      </c>
      <c r="C296" s="44" t="inlineStr">
        <is>
          <t>智邦</t>
        </is>
      </c>
      <c r="D296" s="48" t="n">
        <v>2345</v>
      </c>
      <c r="E296" s="44" t="inlineStr">
        <is>
          <t>美系大行</t>
        </is>
      </c>
      <c r="F296" s="44" t="inlineStr">
        <is>
          <t>• 認為QTD達成預估數的75%，表現優於預期。
• switch升級趨勢明確。
• 重申正面評價。</t>
        </is>
      </c>
      <c r="G296" s="44" t="inlineStr">
        <is>
          <t>#QTD_75% #switch升級</t>
        </is>
      </c>
    </row>
    <row r="297">
      <c r="A297" s="44" t="n">
        <v>296</v>
      </c>
      <c r="B297" s="44" t="inlineStr">
        <is>
          <t>2025/06/06</t>
        </is>
      </c>
      <c r="C297" s="44" t="inlineStr">
        <is>
          <t>貿聯</t>
        </is>
      </c>
      <c r="D297" s="48" t="n">
        <v>3665</v>
      </c>
      <c r="E297" s="44" t="inlineStr">
        <is>
          <t>美系大行</t>
        </is>
      </c>
      <c r="F297" s="44" t="inlineStr">
        <is>
          <t>• QTD達成預估數68%，表現符合預期。
• AEC及相關伺服器傳輸線材需求持續成長。
• 認為目前PEG僅0.7，低於19-23年的1.0。
• 維持正面評價不變。</t>
        </is>
      </c>
      <c r="G297" s="44" t="inlineStr">
        <is>
          <t>#PEG_0.7 #AEC需求</t>
        </is>
      </c>
    </row>
    <row r="298">
      <c r="A298" s="44" t="n">
        <v>297</v>
      </c>
      <c r="B298" s="44" t="inlineStr">
        <is>
          <t>2025/06/06</t>
        </is>
      </c>
      <c r="C298" s="44" t="inlineStr">
        <is>
          <t>川湖</t>
        </is>
      </c>
      <c r="D298" s="48" t="n">
        <v>2059</v>
      </c>
      <c r="E298" s="44" t="inlineStr">
        <is>
          <t>美系大行</t>
        </is>
      </c>
      <c r="F298" s="44" t="inlineStr">
        <is>
          <t>• 五月營收也受到匯率影響，不過QTD達成預估數的71%，表現優於預期。
• 重申正面評價不變。</t>
        </is>
      </c>
      <c r="G298" s="44" t="inlineStr">
        <is>
          <t>#QTD_71% #優於預期</t>
        </is>
      </c>
    </row>
    <row r="299">
      <c r="A299" s="44" t="n">
        <v>298</v>
      </c>
      <c r="B299" s="44" t="inlineStr">
        <is>
          <t>2025/06/09</t>
        </is>
      </c>
      <c r="C299" s="44" t="inlineStr">
        <is>
          <t>台光電</t>
        </is>
      </c>
      <c r="D299" s="48" t="n">
        <v>2383</v>
      </c>
      <c r="E299" s="44" t="inlineStr">
        <is>
          <t>美系券商</t>
        </is>
      </c>
      <c r="F299" s="44" t="inlineStr">
        <is>
          <t>• 恭喜進入台灣50！
• 上修明年EPS至$56.5，以20xPE評價。
• 認為在Rubin系列將拿回領導地位，而ASIC部分持續伴隨客戶們長大。
• 另外，觀察未來會有30層（現在18-26層）+混合材料，長期而言還有超過40層，整體難度與成本上升，良率也因此受限，不排除未來CCL漲價可能性。
• 對台光電領導地位深具信心，認為客戶在戰略考量上，仍會集中在他身上。</t>
        </is>
      </c>
      <c r="G299" s="44" t="inlineStr">
        <is>
          <t>#台灣50 #30層+ #漲價預期</t>
        </is>
      </c>
    </row>
    <row r="300">
      <c r="A300" s="44" t="n">
        <v>299</v>
      </c>
      <c r="B300" s="44" t="inlineStr">
        <is>
          <t>2025/06/09</t>
        </is>
      </c>
      <c r="C300" s="44" t="inlineStr">
        <is>
          <t>緯穎</t>
        </is>
      </c>
      <c r="D300" s="48" t="n">
        <v>6669</v>
      </c>
      <c r="E300" s="44" t="inlineStr">
        <is>
          <t>美系券商</t>
        </is>
      </c>
      <c r="F300" s="44" t="inlineStr">
        <is>
          <t>• 5月營收優於預期，QTD達成預估數的79%，表現亦優於預期。
• 預估2Q營收季增2成，對下半年展望正向。
• 除了ASIC外，還有GB200及Oracle。</t>
        </is>
      </c>
      <c r="G300" s="44" t="inlineStr">
        <is>
          <t>#QTD_79% #2Q季增20%</t>
        </is>
      </c>
    </row>
    <row r="301">
      <c r="A301" s="44" t="n">
        <v>300</v>
      </c>
      <c r="B301" s="44" t="inlineStr">
        <is>
          <t>2025/06/09</t>
        </is>
      </c>
      <c r="C301" s="44" t="inlineStr">
        <is>
          <t>雙鴻</t>
        </is>
      </c>
      <c r="D301" s="48" t="n">
        <v>3324</v>
      </c>
      <c r="E301" s="44" t="inlineStr">
        <is>
          <t>美系大行</t>
        </is>
      </c>
      <c r="F301" s="44" t="inlineStr">
        <is>
          <t>• 認為5月營收受到匯率影響表現不如預期，但仍上修2Q營收展望到季增20-25%。
• 預期6月產能轉進水冷，cold plates、manifolds也進入量產。</t>
        </is>
      </c>
      <c r="G301" s="44" t="inlineStr">
        <is>
          <t>#水冷量產 #2Q季增20-25%</t>
        </is>
      </c>
    </row>
    <row r="302">
      <c r="A302" s="44" t="n">
        <v>301</v>
      </c>
      <c r="B302" s="44" t="inlineStr">
        <is>
          <t>2025/06/09</t>
        </is>
      </c>
      <c r="C302" s="44" t="inlineStr">
        <is>
          <t>研華</t>
        </is>
      </c>
      <c r="D302" s="48" t="n">
        <v>2395</v>
      </c>
      <c r="E302" s="44" t="inlineStr">
        <is>
          <t>美系大行</t>
        </is>
      </c>
      <c r="F302" s="44" t="inlineStr">
        <is>
          <t>• QTD達成預估數的68%，表現符合預期。
• 重申今年年營收增長2成目標不變。
• 5月產品結構裡，Intelligent Systems年增35%、Intelligent Service年增68%。</t>
        </is>
      </c>
      <c r="G302" s="44" t="inlineStr">
        <is>
          <t>#QTD_68% #年增2成目標</t>
        </is>
      </c>
    </row>
    <row r="303">
      <c r="A303" s="44" t="n">
        <v>302</v>
      </c>
      <c r="B303" s="44" t="inlineStr">
        <is>
          <t>2025/05/14</t>
        </is>
      </c>
      <c r="C303" s="44" t="inlineStr">
        <is>
          <t>萬潤</t>
        </is>
      </c>
      <c r="D303" s="48" t="n">
        <v>6187</v>
      </c>
      <c r="E303" s="44" t="inlineStr">
        <is>
          <t>美系大行</t>
        </is>
      </c>
      <c r="F303" s="44" t="inlineStr">
        <is>
          <t>• 調降評等至EW，調升今年EPS至$23.1，調降明年至$13.8，介紹27年為$8。給予今年12xPE評價。
• 認為今年1Q毛利率見頂。
• 維持CoWoS產能今年70kwpm，明年90，預期明後年產能再擴張有限。
• 同時CoPoS還需要時間。</t>
        </is>
      </c>
      <c r="G303" s="44" t="inlineStr">
        <is>
          <t>#降評EW #毛利率見頂 #CoWoS擴產有限</t>
        </is>
      </c>
    </row>
    <row r="304">
      <c r="A304" s="44" t="n">
        <v>303</v>
      </c>
      <c r="B304" s="44" t="inlineStr">
        <is>
          <t>2025/05/14</t>
        </is>
      </c>
      <c r="C304" s="44" t="inlineStr">
        <is>
          <t>奇鋐</t>
        </is>
      </c>
      <c r="D304" s="48" t="n">
        <v>3017</v>
      </c>
      <c r="E304" s="44" t="inlineStr">
        <is>
          <t>美系大行</t>
        </is>
      </c>
      <c r="F304" s="44" t="inlineStr">
        <is>
          <t>• 昨日法說會後，升25-27年EPS至$36/$42.6/$51.5，給予今年21xPE評價。
• 認為1Q毛利率、result皆優於預期。
• 預期全年營收季季高，年增超過5成。預估2Q季增15-20%。
• 預估越南產能到2027年翻倍。
• 近期而言，GB300改回Bianca不受影響，反而增加附加價值。
• 在GB200 cold plate及ASIC server的VC都有高市佔率。
• 上調今年毛利率至26%，明年26.2%。</t>
        </is>
      </c>
      <c r="G304" s="44" t="inlineStr">
        <is>
          <t>#年增5成+ #2Q季增15-20% #毛利率26%</t>
        </is>
      </c>
    </row>
    <row r="305">
      <c r="A305" s="44" t="n">
        <v>304</v>
      </c>
      <c r="B305" s="44" t="inlineStr">
        <is>
          <t>2025/05/14</t>
        </is>
      </c>
      <c r="C305" s="44" t="inlineStr">
        <is>
          <t>廣達</t>
        </is>
      </c>
      <c r="D305" s="48" t="n">
        <v>2382</v>
      </c>
      <c r="E305" s="44" t="inlineStr">
        <is>
          <t>美系大行</t>
        </is>
      </c>
      <c r="F305" s="44" t="inlineStr">
        <is>
          <t>• 預估25-27年EPS為$16.6/$18.9/$21.2，以今年19xPE評價。
• 認為主要受惠AI server成長，尤其GB200良率改善。
• 1Q有關稅前拉貨潮，不過NB預估本季也有個位數增長。</t>
        </is>
      </c>
      <c r="G305" s="44" t="inlineStr">
        <is>
          <t>#GB200良率改善 #NB個位數增長</t>
        </is>
      </c>
    </row>
    <row r="306">
      <c r="A306" s="44" t="n">
        <v>305</v>
      </c>
      <c r="B306" s="44" t="inlineStr">
        <is>
          <t>2025/05/14</t>
        </is>
      </c>
      <c r="C306" s="44" t="inlineStr">
        <is>
          <t>英業達</t>
        </is>
      </c>
      <c r="D306" s="48" t="n">
        <v>2356</v>
      </c>
      <c r="E306" s="44" t="inlineStr">
        <is>
          <t>美系券商</t>
        </is>
      </c>
      <c r="F306" s="44" t="inlineStr">
        <is>
          <t>• 認為AI server營收佔比有提高，同時毛利率也有改善。
• 財務面上，認為1Q results優於預期。
• 預估2Q營收季增8-10%，NB出貨量季增5%。</t>
        </is>
      </c>
      <c r="G306" s="44" t="inlineStr">
        <is>
          <t>#AI佔比提高 #2Q季增8-10%</t>
        </is>
      </c>
    </row>
    <row r="307">
      <c r="A307" s="44" t="n">
        <v>306</v>
      </c>
      <c r="B307" s="44" t="inlineStr">
        <is>
          <t>2025/05/14</t>
        </is>
      </c>
      <c r="C307" s="44" t="inlineStr">
        <is>
          <t>祥碩</t>
        </is>
      </c>
      <c r="D307" s="48" t="n">
        <v>5269</v>
      </c>
      <c r="E307" s="44" t="inlineStr">
        <is>
          <t>美系券商</t>
        </is>
      </c>
      <c r="F307" s="44" t="inlineStr">
        <is>
          <t>• 肯定法說會上內容，認為持續受益主要客戶市佔率提升。
• 評等維持正向。</t>
        </is>
      </c>
      <c r="G307" s="44" t="inlineStr">
        <is>
          <t>#客戶市佔提升 #重申正向</t>
        </is>
      </c>
    </row>
    <row r="308">
      <c r="A308" s="44" t="n">
        <v>307</v>
      </c>
      <c r="B308" s="44" t="inlineStr">
        <is>
          <t>2025/05/15</t>
        </is>
      </c>
      <c r="C308" s="44" t="inlineStr">
        <is>
          <t>廣達</t>
        </is>
      </c>
      <c r="D308" s="48" t="n">
        <v>2382</v>
      </c>
      <c r="E308" s="44" t="inlineStr">
        <is>
          <t>美系大行</t>
        </is>
      </c>
      <c r="F308" s="44" t="inlineStr">
        <is>
          <t>• 法說會後，再度上修目標，認為1Q OPM來到歷史新高。
• 預估2Q營收季增18%，優於之前的預估。
• AI伺服器動能優於預期，尤其HGX、GB200 ramp up也順利。
• 一般型server及NB的展望也是優於之前預估。</t>
        </is>
      </c>
      <c r="G308" s="44" t="inlineStr">
        <is>
          <t>#OPM歷史新高 #2Q季增18% #GB200順利</t>
        </is>
      </c>
    </row>
    <row r="309">
      <c r="A309" s="44" t="n">
        <v>308</v>
      </c>
      <c r="B309" s="44" t="inlineStr">
        <is>
          <t>2025/05/15</t>
        </is>
      </c>
      <c r="C309" s="44" t="inlineStr">
        <is>
          <t>技嘉</t>
        </is>
      </c>
      <c r="D309" s="48" t="n">
        <v>2376</v>
      </c>
      <c r="E309" s="44" t="inlineStr">
        <is>
          <t>美系大行</t>
        </is>
      </c>
      <c r="F309" s="44" t="inlineStr">
        <is>
          <t>• 上修25-27年EPS至$22/$23.4/$24，給予今年16xPE評價。
• 1Q OP優於預期。
• 預估2Q營收季增2成以上，毛利率12%。
• 三大產品線MB、VGA、server齊揚。</t>
        </is>
      </c>
      <c r="G309" s="44" t="inlineStr">
        <is>
          <t>#2Q季增20%+ #三線齊揚</t>
        </is>
      </c>
    </row>
    <row r="310">
      <c r="A310" s="44" t="n">
        <v>309</v>
      </c>
      <c r="B310" s="44" t="inlineStr">
        <is>
          <t>2025/05/15</t>
        </is>
      </c>
      <c r="C310" s="44" t="inlineStr">
        <is>
          <t>南亞科</t>
        </is>
      </c>
      <c r="D310" s="48" t="n">
        <v>2408</v>
      </c>
      <c r="E310" s="44" t="inlineStr">
        <is>
          <t>美系大行</t>
        </is>
      </c>
      <c r="F310" s="44" t="inlineStr">
        <is>
          <t>• 升評南亞科到EW。
• 由於三星要對DDR4 EOL，Hynix也重新佈局在DDR5及HBM，美光也會暫停供DDR4給消費性。
• 儘管認為總需求不變，但由於供應面洗牌，認為給台廠創造契機。</t>
        </is>
      </c>
      <c r="G310" s="44" t="inlineStr">
        <is>
          <t>#升評EW #DDR4_EOL #供應洗牌</t>
        </is>
      </c>
    </row>
    <row r="311">
      <c r="A311" s="44" t="n">
        <v>310</v>
      </c>
      <c r="B311" s="44" t="inlineStr">
        <is>
          <t>2025/05/15</t>
        </is>
      </c>
      <c r="C311" s="44" t="inlineStr">
        <is>
          <t>華邦電</t>
        </is>
      </c>
      <c r="D311" s="48" t="n">
        <v>2344</v>
      </c>
      <c r="E311" s="44" t="inlineStr">
        <is>
          <t>美系大行</t>
        </is>
      </c>
      <c r="F311" s="44" t="inlineStr">
        <is>
          <t>• 至於Nor Flash，觀察3Q有望持續漲價，同時中國同業擴產有限。
• 調升華邦電目標，以1.1x 2025e BVPS評價。</t>
        </is>
      </c>
      <c r="G311" s="44" t="inlineStr">
        <is>
          <t>#3Q漲價 #中國擴產有限</t>
        </is>
      </c>
    </row>
    <row r="312">
      <c r="A312" s="44" t="n">
        <v>311</v>
      </c>
      <c r="B312" s="44" t="inlineStr">
        <is>
          <t>2025/05/15</t>
        </is>
      </c>
      <c r="C312" s="44" t="inlineStr">
        <is>
          <t>仁寶</t>
        </is>
      </c>
      <c r="D312" s="48" t="n">
        <v>2324</v>
      </c>
      <c r="E312" s="44" t="inlineStr">
        <is>
          <t>美系大行</t>
        </is>
      </c>
      <c r="F312" s="44" t="inlineStr">
        <is>
          <t>• 認為1Q OP不如預期，重申UW評等。
• 認為新事業如車用及伺服器的成長尚待時間。</t>
        </is>
      </c>
      <c r="G312" s="44" t="inlineStr">
        <is>
          <t>#重申UW #新事業待時間</t>
        </is>
      </c>
    </row>
    <row r="313">
      <c r="A313" s="44" t="n">
        <v>312</v>
      </c>
      <c r="B313" s="44" t="inlineStr">
        <is>
          <t>2025/05/16</t>
        </is>
      </c>
      <c r="C313" s="44" t="inlineStr">
        <is>
          <t>弘塑</t>
        </is>
      </c>
      <c r="D313" s="48" t="n">
        <v>3131</v>
      </c>
      <c r="E313" s="44" t="inlineStr">
        <is>
          <t>澳系券商</t>
        </is>
      </c>
      <c r="F313" s="44" t="inlineStr">
        <is>
          <t>• 又一家券商降評CoWoS供應鏈。
• 預估CoWoS 25-27年產能為70、90、110wpm，同時認為有部分訂單從4Q25遞延到1Q26。
• SoIC、CoPoS也尚待時間。
• 降評覆蓋裡弘塑的評等到Neutral。</t>
        </is>
      </c>
      <c r="G313" s="44" t="inlineStr">
        <is>
          <t>#降評Neutral #訂單遞延 #CoWoS_70-90-110</t>
        </is>
      </c>
    </row>
    <row r="314">
      <c r="A314" s="44" t="n">
        <v>313</v>
      </c>
      <c r="B314" s="44" t="inlineStr">
        <is>
          <t>2025/05/16</t>
        </is>
      </c>
      <c r="C314" s="44" t="inlineStr">
        <is>
          <t>辛耘</t>
        </is>
      </c>
      <c r="D314" s="48" t="n">
        <v>3583</v>
      </c>
      <c r="E314" s="44" t="inlineStr">
        <is>
          <t>澳系券商</t>
        </is>
      </c>
      <c r="F314" s="44" t="inlineStr">
        <is>
          <t>• 又一家券商降評CoWoS供應鏈。
• 預估CoWoS 25-27年產能為70、90、110wpm，同時認為有部分訂單從4Q25遞延到1Q26。
• SoIC、CoPoS也尚待時間。
• 降評辛耘到Underperform。</t>
        </is>
      </c>
      <c r="G314" s="44" t="inlineStr">
        <is>
          <t>#降評Underperform #訂單遞延</t>
        </is>
      </c>
    </row>
    <row r="315">
      <c r="A315" s="44" t="n">
        <v>314</v>
      </c>
      <c r="B315" s="44" t="inlineStr">
        <is>
          <t>2025/05/20</t>
        </is>
      </c>
      <c r="C315" s="44" t="inlineStr">
        <is>
          <t>信驊</t>
        </is>
      </c>
      <c r="D315" s="48" t="n">
        <v>5274</v>
      </c>
      <c r="E315" s="44" t="inlineStr">
        <is>
          <t>美系大行</t>
        </is>
      </c>
      <c r="F315" s="44" t="inlineStr">
        <is>
          <t>• 上修2Q最新營收預估為季減6%（之前預估季減15%）。
• 預估3Q也是旺季。
• AST2700比2600有更多設計案，也取得市佔率回來。
• GB300、AWS ASIC、MITA各用到71、22、23個BMC。
• 另外一般性伺服器也在自然成長中。</t>
        </is>
      </c>
      <c r="G315" s="44" t="inlineStr">
        <is>
          <t>#上修2Q #AST2700 #BMC用量</t>
        </is>
      </c>
    </row>
    <row r="316">
      <c r="A316" s="44" t="n">
        <v>315</v>
      </c>
      <c r="B316" s="44" t="inlineStr">
        <is>
          <t>2025/05/20</t>
        </is>
      </c>
      <c r="C316" s="44" t="inlineStr">
        <is>
          <t>奇鋐</t>
        </is>
      </c>
      <c r="D316" s="48" t="n">
        <v>3017</v>
      </c>
      <c r="E316" s="44" t="inlineStr">
        <is>
          <t>美系大行</t>
        </is>
      </c>
      <c r="F316" s="44" t="inlineStr">
        <is>
          <t>• 認為電腦展重點在於水冷散熱3Q會為了GB300開始進入量產。
• 使用ASIC server的部分客戶也會使用水冷。
• 長期而言，認為市佔率會穩在5成左右（現階段7-8成）。
• 持續有新品開發中如：two-phase liquid cooling、micro channel、direct liquid cooling。
• 維持正面評價不變。</t>
        </is>
      </c>
      <c r="G316" s="44" t="inlineStr">
        <is>
          <t>#水冷3Q量產 #市佔5成 #新品開發</t>
        </is>
      </c>
    </row>
    <row r="317">
      <c r="A317" s="44" t="n">
        <v>316</v>
      </c>
      <c r="B317" s="44" t="inlineStr">
        <is>
          <t>2025/05/21</t>
        </is>
      </c>
      <c r="C317" s="44" t="inlineStr">
        <is>
          <t>台光電</t>
        </is>
      </c>
      <c r="D317" s="48" t="n">
        <v>2383</v>
      </c>
      <c r="E317" s="44" t="inlineStr">
        <is>
          <t>美系券商</t>
        </is>
      </c>
      <c r="F317" s="44" t="inlineStr">
        <is>
          <t>• 認為現在在M8有75%市佔率，M8+在接下來季度將會被採用，認為會進一步推高台光電的ASP。
• 去年+35%，今年+30-35%。
• 同時，相信他也會是M9首批量產的合格供應商。
• 明年還會持續擴廠，且無籌資計畫。
• 以2H25-1H26 19xPE評價。</t>
        </is>
      </c>
      <c r="G317" s="44" t="inlineStr">
        <is>
          <t>#M8市佔75% #ASP增30-35% #M9首批</t>
        </is>
      </c>
    </row>
    <row r="318">
      <c r="A318" s="44" t="n">
        <v>317</v>
      </c>
      <c r="B318" s="44" t="inlineStr">
        <is>
          <t>2025/05/21</t>
        </is>
      </c>
      <c r="C318" s="44" t="inlineStr">
        <is>
          <t>金像電</t>
        </is>
      </c>
      <c r="D318" s="48" t="n">
        <v>2368</v>
      </c>
      <c r="E318" s="44" t="inlineStr">
        <is>
          <t>美系券商</t>
        </is>
      </c>
      <c r="F318" s="44" t="inlineStr">
        <is>
          <t>• 擴廠腳步未停歇，且泰國廠將於3Q開始挹注營收。
• 觀察毛利率趨勢向上，因較佳的產品組合、良率提升、稼動率提高等。
• 800G也在1Q開始貢獻營收。</t>
        </is>
      </c>
      <c r="G318" s="44" t="inlineStr">
        <is>
          <t>#泰國廠3Q #毛利率向上 #800G</t>
        </is>
      </c>
    </row>
    <row r="319">
      <c r="A319" s="44" t="n">
        <v>318</v>
      </c>
      <c r="B319" s="44" t="inlineStr">
        <is>
          <t>2025/05/21</t>
        </is>
      </c>
      <c r="C319" s="44" t="inlineStr">
        <is>
          <t>嘉澤</t>
        </is>
      </c>
      <c r="D319" s="48" t="n">
        <v>3533</v>
      </c>
      <c r="E319" s="44" t="inlineStr">
        <is>
          <t>美系大行</t>
        </is>
      </c>
      <c r="F319" s="44" t="inlineStr">
        <is>
          <t>• 認為匯率影響營收5-6%，影響毛利率2-3個百分點。
• 不過還是預估今年總營收成長兩成。
• 其中越南廠去年營收佔比個位數，今年底有望15%。
• NVQD目前在sample-ready階段。</t>
        </is>
      </c>
      <c r="G319" s="44" t="inlineStr">
        <is>
          <t>#營收增20% #越南廠15% #NVQD</t>
        </is>
      </c>
    </row>
    <row r="320">
      <c r="A320" s="44" t="n">
        <v>319</v>
      </c>
      <c r="B320" s="44" t="inlineStr">
        <is>
          <t>2025/05/22</t>
        </is>
      </c>
      <c r="C320" s="44" t="inlineStr">
        <is>
          <t>弘塑</t>
        </is>
      </c>
      <c r="D320" s="48" t="n">
        <v>3131</v>
      </c>
      <c r="E320" s="44" t="inlineStr">
        <is>
          <t>亞系券商</t>
        </is>
      </c>
      <c r="F320" s="44" t="inlineStr">
        <is>
          <t>• 觀察台積電有重啟先前暫停的CoWoS產能建置。
• 預估今年75kwpm，明年115kwpm。
• 還會為蘋果手機明年先建WLMCM，產能10k，機台今年底move-in。
• 關於CoPoS，認為有比預期晚。不過還是會於明年2Q建310x310mm尺寸的小產線。
• 預期27年完成研發，28年添購設備，29年量產。
• 若趕不上27年的Nvidia的Rubin Ultra的話，備案可能為以基板為基礎的互連解決方案，連接兩個較小的中介層。</t>
        </is>
      </c>
      <c r="G320" s="44" t="inlineStr">
        <is>
          <t>#CoWoS_75-115k #WLMCM #CoPoS遞延</t>
        </is>
      </c>
    </row>
    <row r="321">
      <c r="A321" s="44" t="n">
        <v>320</v>
      </c>
      <c r="B321" s="44" t="inlineStr">
        <is>
          <t>2025/05/22</t>
        </is>
      </c>
      <c r="C321" s="44" t="inlineStr">
        <is>
          <t>台光電</t>
        </is>
      </c>
      <c r="D321" s="48" t="n">
        <v>2383</v>
      </c>
      <c r="E321" s="44" t="inlineStr">
        <is>
          <t>美系券商</t>
        </is>
      </c>
      <c r="F321" s="44" t="inlineStr">
        <is>
          <t>• 觀察隨著PCB良率改善，預期下半年有更多的CCL用於AWS ASIC server。
• 認為上下半年營收比有望4:6，然後還有switch、其他ASIC等案子在走。
• 預期3、4季度營收持續走揚。</t>
        </is>
      </c>
      <c r="G321" s="44" t="inlineStr">
        <is>
          <t>#下半年4:6 #AWS_ASIC #3Q4Q走揚</t>
        </is>
      </c>
    </row>
    <row r="322">
      <c r="A322" s="44" t="n">
        <v>321</v>
      </c>
      <c r="B322" s="44" t="inlineStr">
        <is>
          <t>2025/05/22</t>
        </is>
      </c>
      <c r="C322" s="44" t="inlineStr">
        <is>
          <t>儒鴻</t>
        </is>
      </c>
      <c r="D322" s="48" t="n">
        <v>1476</v>
      </c>
      <c r="E322" s="44" t="inlineStr">
        <is>
          <t>美系券商</t>
        </is>
      </c>
      <c r="F322" s="44" t="inlineStr">
        <is>
          <t>• 認為受到關稅及匯率影響的夾擊。
• 下修25-27年EPS至$23.2/$26.3/$28.9。
• 觀察小部分的品牌業者要求儒鴻分攤潛在關稅成本，雖然還在討論階段尚未定案，但擔憂衝擊3Q訂單及接下來的毛利率。
• 短期而言，2Q出貨量並未受到影響。</t>
        </is>
      </c>
      <c r="G322" s="44" t="inlineStr">
        <is>
          <t>#關稅匯率 #成本分攤 #3Q擔憂</t>
        </is>
      </c>
    </row>
    <row r="323">
      <c r="A323" s="44" t="n">
        <v>322</v>
      </c>
      <c r="B323" s="44" t="inlineStr">
        <is>
          <t>2025/05/22</t>
        </is>
      </c>
      <c r="C323" s="44" t="inlineStr">
        <is>
          <t>元太</t>
        </is>
      </c>
      <c r="D323" s="48" t="n">
        <v>8069</v>
      </c>
      <c r="E323" s="44" t="inlineStr">
        <is>
          <t>美系大行</t>
        </is>
      </c>
      <c r="F323" s="44" t="inlineStr">
        <is>
          <t>• 法說會後，評論認為2Q有急單加持，但營收會在2Q見頂。
• 對下半年展望不明朗。
• 維持中性評價不變。</t>
        </is>
      </c>
      <c r="G323" s="44" t="inlineStr">
        <is>
          <t>#2Q見頂 #下半年不明 #維持中性</t>
        </is>
      </c>
    </row>
    <row r="324">
      <c r="A324" s="44" t="n">
        <v>323</v>
      </c>
      <c r="B324" s="44" t="inlineStr">
        <is>
          <t>2025/05/23</t>
        </is>
      </c>
      <c r="C324" s="44" t="inlineStr">
        <is>
          <t>聚陽</t>
        </is>
      </c>
      <c r="D324" s="48" t="n">
        <v>1477</v>
      </c>
      <c r="E324" s="44" t="inlineStr">
        <is>
          <t>美系券商</t>
        </is>
      </c>
      <c r="F324" s="44" t="inlineStr">
        <is>
          <t>• 昨日調降儒鴻目標後，今日調降聚陽評等。
• 修正25-27年EPS為$14/$16.4/$17.4，其中修正後的25-26年EPS還較24年衰退。
• 所持理由仍是匯率及關稅議題，其中關稅問題已影響美國客戶拉貨意願（像是Target 1Q result也不如預期）。
• 下修2Q營收增幅至高個位數from中低雙位數。</t>
        </is>
      </c>
      <c r="G324" s="44" t="inlineStr">
        <is>
          <t>#降評 #關稅影響 #Target不佳</t>
        </is>
      </c>
    </row>
    <row r="325">
      <c r="A325" s="44" t="n">
        <v>324</v>
      </c>
      <c r="B325" s="44" t="inlineStr">
        <is>
          <t>2025/05/02</t>
        </is>
      </c>
      <c r="C325" s="44" t="inlineStr">
        <is>
          <t>台積電</t>
        </is>
      </c>
      <c r="D325" s="48" t="n">
        <v>2330</v>
      </c>
      <c r="E325" s="44" t="inlineStr">
        <is>
          <t>美系大行</t>
        </is>
      </c>
      <c r="F325" s="44" t="inlineStr">
        <is>
          <t>• 將Top Pick從聯發科移回台積電。
• 主要理由為：1）CoWoS-L需求不變，主要北美CSP廠CAPEX多數維持不變，甚有增加。2）Intel提高Panther Lake在自家18A比重達7成，NovaLake在明年下半年也會分出部分回去Intel，所以成立合資公司已無必要性。</t>
        </is>
      </c>
      <c r="G325" s="44" t="inlineStr">
        <is>
          <t>#Top_Pick #CoWoS需求不變 #Intel18A</t>
        </is>
      </c>
    </row>
    <row r="326">
      <c r="A326" s="44" t="n">
        <v>325</v>
      </c>
      <c r="B326" s="44" t="inlineStr">
        <is>
          <t>2025/05/02</t>
        </is>
      </c>
      <c r="C326" s="44" t="inlineStr">
        <is>
          <t>聯發科</t>
        </is>
      </c>
      <c r="D326" s="48" t="n">
        <v>2454</v>
      </c>
      <c r="E326" s="44" t="inlineStr">
        <is>
          <t>美系大行</t>
        </is>
      </c>
      <c r="F326" s="44" t="inlineStr">
        <is>
          <t>• 認為法說會上內容都符合預期。
• 1Q result in-line，2Q營收概季持平：in-line。
• 預估全年營收成長雙位數，ASIC明年貢獻營收。</t>
        </is>
      </c>
      <c r="G326" s="44" t="inlineStr">
        <is>
          <t>#法說會符合預期 #全年雙位數增長</t>
        </is>
      </c>
    </row>
    <row r="327">
      <c r="A327" s="44" t="n">
        <v>326</v>
      </c>
      <c r="B327" s="44" t="inlineStr">
        <is>
          <t>2025/05/02</t>
        </is>
      </c>
      <c r="C327" s="44" t="inlineStr">
        <is>
          <t>嘉澤</t>
        </is>
      </c>
      <c r="D327" s="48" t="n">
        <v>3533</v>
      </c>
      <c r="E327" s="44" t="inlineStr">
        <is>
          <t>美系大行</t>
        </is>
      </c>
      <c r="F327" s="44" t="inlineStr">
        <is>
          <t>• 微升目標，原因考量預期1Q毛利率向上。
• 預期2Q營收季增中個位數，毛利率持平。
• 下半年雖尚不明朗，但維持全年增長目標不變。</t>
        </is>
      </c>
      <c r="G327" s="44" t="inlineStr">
        <is>
          <t>#毛利率向上 #全年增長</t>
        </is>
      </c>
    </row>
    <row r="328">
      <c r="A328" s="44" t="n">
        <v>327</v>
      </c>
      <c r="B328" s="44" t="inlineStr">
        <is>
          <t>2025/05/02</t>
        </is>
      </c>
      <c r="C328" s="44" t="inlineStr">
        <is>
          <t>日月光</t>
        </is>
      </c>
      <c r="D328" s="48" t="n">
        <v>3711</v>
      </c>
      <c r="E328" s="44" t="inlineStr">
        <is>
          <t>美系大行</t>
        </is>
      </c>
      <c r="F328" s="44" t="inlineStr">
        <is>
          <t>• 法說會後，認為日月光是Blackwell晶片主要測試者，未看到客戶訂單有任何變化，測試的營收有望超越ATM。
• 短期而言，預估2Q營收季持平。
• 不過考量關稅潛在衝擊，以明年14xPE評價，略降目標，但14xPE仍比過往10年平均的12x高。</t>
        </is>
      </c>
      <c r="G328" s="44" t="inlineStr">
        <is>
          <t>#Blackwell測試 #關稅考量</t>
        </is>
      </c>
    </row>
    <row r="329">
      <c r="A329" s="44" t="n">
        <v>328</v>
      </c>
      <c r="B329" s="44" t="inlineStr">
        <is>
          <t>2025/05/02</t>
        </is>
      </c>
      <c r="C329" s="44" t="inlineStr">
        <is>
          <t>研華</t>
        </is>
      </c>
      <c r="D329" s="48" t="n">
        <v>2395</v>
      </c>
      <c r="E329" s="44" t="inlineStr">
        <is>
          <t>美系大行</t>
        </is>
      </c>
      <c r="F329" s="44" t="inlineStr">
        <is>
          <t>• 法說會後，預估今年營收成長2成。
• 短期而言，4月BB ratio仍高於1.1，強勁訂單需求主要來自北美。
• 預估2Q營收年增19%，毛利率在39-41%，OPM：16-18%。
• 產業以醫療、半導體、自動化機器人等。
• 不過考量潛在關稅衝擊，以今年30xPE評價，略降目標。</t>
        </is>
      </c>
      <c r="G329" s="44" t="inlineStr">
        <is>
          <t>#營收增2成 #BB_ratio_1.1+ #關稅考量</t>
        </is>
      </c>
    </row>
    <row r="330">
      <c r="A330" s="44" t="n">
        <v>329</v>
      </c>
      <c r="B330" s="44" t="inlineStr">
        <is>
          <t>2025/05/02</t>
        </is>
      </c>
      <c r="C330" s="44" t="inlineStr">
        <is>
          <t>致茂</t>
        </is>
      </c>
      <c r="D330" s="48" t="n">
        <v>2360</v>
      </c>
      <c r="E330" s="44" t="inlineStr">
        <is>
          <t>美系大行</t>
        </is>
      </c>
      <c r="F330" s="44" t="inlineStr">
        <is>
          <t>• 雖上修25-26年EPS至$16.5/$17.97，但同樣考量潛在關稅議題，以今年24xPE評價，略降目標。
• 1Q result優於預期。
• 全年來看，預估semi &amp; 光通今年成長37%，測試設備及ATS預估年增2成。</t>
        </is>
      </c>
      <c r="G330" s="44" t="inlineStr">
        <is>
          <t>#1Q優於預期 #semi光通增37%</t>
        </is>
      </c>
    </row>
    <row r="331">
      <c r="A331" s="44" t="n">
        <v>330</v>
      </c>
      <c r="B331" s="44" t="inlineStr">
        <is>
          <t>2025/05/02</t>
        </is>
      </c>
      <c r="C331" s="44" t="inlineStr">
        <is>
          <t>瑞昱</t>
        </is>
      </c>
      <c r="D331" s="48" t="n">
        <v>2379</v>
      </c>
      <c r="E331" s="44" t="inlineStr">
        <is>
          <t>美系大行</t>
        </is>
      </c>
      <c r="F331" s="44" t="inlineStr">
        <is>
          <t>• 1Q result符合預期，預估2Q持續增長，庫存水位健康。
• 但認為上半年以急單為主，擔心下半年趨緩。
• 維持UW評價不變。</t>
        </is>
      </c>
      <c r="G331" s="44" t="inlineStr">
        <is>
          <t>#上半年急單 #下半年擔憂 #維持UW</t>
        </is>
      </c>
    </row>
    <row r="332">
      <c r="A332" s="44" t="n">
        <v>331</v>
      </c>
      <c r="B332" s="44" t="inlineStr">
        <is>
          <t>2025/05/02</t>
        </is>
      </c>
      <c r="C332" s="44" t="inlineStr">
        <is>
          <t>台達電</t>
        </is>
      </c>
      <c r="D332" s="48" t="n">
        <v>2308</v>
      </c>
      <c r="E332" s="44" t="inlineStr">
        <is>
          <t>美系券商</t>
        </is>
      </c>
      <c r="F332" s="44" t="inlineStr">
        <is>
          <t>• 法說會後，儘管管理層對於2Q展望仍維持正向，但考量關稅衝擊毛利率，也認為下半年明年度低。
• 下修25-27年EPS $18.8/$29.5/$39.9。</t>
        </is>
      </c>
      <c r="G332" s="44" t="inlineStr">
        <is>
          <t>#關稅衝擊 #下修獲利</t>
        </is>
      </c>
    </row>
    <row r="333">
      <c r="A333" s="44" t="n">
        <v>332</v>
      </c>
      <c r="B333" s="44" t="inlineStr">
        <is>
          <t>2025/05/05</t>
        </is>
      </c>
      <c r="C333" s="44" t="inlineStr">
        <is>
          <t>緯穎</t>
        </is>
      </c>
      <c r="D333" s="48" t="n">
        <v>6669</v>
      </c>
      <c r="E333" s="44" t="inlineStr">
        <is>
          <t>美系券商</t>
        </is>
      </c>
      <c r="F333" s="44" t="inlineStr">
        <is>
          <t>• 公告取得美國德州土地，券商按讚肯定。
• 重申緯穎今年的ASIC伺服器持續成長，一般性伺服器復甦。
• 再來GPU伺服器滲透率上升，然後客戶的CAPEX不變或增加。
• 維持正向評價不變。</t>
        </is>
      </c>
      <c r="G333" s="44" t="inlineStr">
        <is>
          <t>#德州土地 #ASIC成長 #CAPEX不變</t>
        </is>
      </c>
    </row>
    <row r="334">
      <c r="A334" s="44" t="n">
        <v>333</v>
      </c>
      <c r="B334" s="44" t="inlineStr">
        <is>
          <t>2025/05/05</t>
        </is>
      </c>
      <c r="C334" s="44" t="inlineStr">
        <is>
          <t>昇達科</t>
        </is>
      </c>
      <c r="D334" s="48" t="n">
        <v>3491</v>
      </c>
      <c r="E334" s="44" t="inlineStr">
        <is>
          <t>美系券商</t>
        </is>
      </c>
      <c r="F334" s="44" t="inlineStr">
        <is>
          <t>• Amazon Project Kuiper上個月底順利發射，正式開始加入地軌道衛星的運營。
• 券商對次肯定主要供應商昇達科。
• 重申今年是低軌衛星元年，預估25-28年EPS為$14.6/$21.1/$28.1/$37.8。
• 維持正面評價不變並微升目標。</t>
        </is>
      </c>
      <c r="G334" s="44" t="inlineStr">
        <is>
          <t>#Kuiper發射 #低軌衛星元年</t>
        </is>
      </c>
    </row>
    <row r="335">
      <c r="A335" s="44" t="n">
        <v>334</v>
      </c>
      <c r="B335" s="44" t="inlineStr">
        <is>
          <t>2025/05/05</t>
        </is>
      </c>
      <c r="C335" s="44" t="inlineStr">
        <is>
          <t>新日興</t>
        </is>
      </c>
      <c r="D335" s="48" t="n">
        <v>3376</v>
      </c>
      <c r="E335" s="44" t="inlineStr">
        <is>
          <t>美系券商</t>
        </is>
      </c>
      <c r="F335" s="44" t="inlineStr">
        <is>
          <t>• 下修25-27年EPS至$7.6/$10.9/$13.6，以明年26xPE評價，略降目標。
• 認為1Q表現不如預期，系因營業規模未放大但研發費用上升所致。
• 預期2Q展望有望優於過往季節性，不過耳機的部分表現較疲弱。
• 長期仍看好摺疊手機趨勢，評等正向。</t>
        </is>
      </c>
      <c r="G335" s="44" t="inlineStr">
        <is>
          <t>#1Q不如預期 #摺疊機看好</t>
        </is>
      </c>
    </row>
    <row r="336">
      <c r="A336" s="44" t="n">
        <v>335</v>
      </c>
      <c r="B336" s="44" t="inlineStr">
        <is>
          <t>2025/05/06</t>
        </is>
      </c>
      <c r="C336" s="44" t="inlineStr">
        <is>
          <t>緯創</t>
        </is>
      </c>
      <c r="D336" s="48" t="n">
        <v>3231</v>
      </c>
      <c r="E336" s="44" t="inlineStr">
        <is>
          <t>澳系券商</t>
        </is>
      </c>
      <c r="F336" s="44" t="inlineStr">
        <is>
          <t>• 上修25-26年EPS至$8.6/$11.6，以明年15xPE評價。
• 預期1Q result優於預期，主要來自緯穎的貢獻，同步推升毛利率表現。
• 展望2Q，預期GB200拉貨動能展現，預期今年有3K出貨量，另外緯穎的ASIC伺服器同樣也是好表現。
• 預期緯創的2Q營收季增17%、年增69%。</t>
        </is>
      </c>
      <c r="G336" s="44" t="inlineStr">
        <is>
          <t>#GB200_3K #2Q季增17% #年增69%</t>
        </is>
      </c>
    </row>
    <row r="337">
      <c r="A337" s="44" t="n">
        <v>336</v>
      </c>
      <c r="B337" s="44" t="inlineStr">
        <is>
          <t>2025/05/06</t>
        </is>
      </c>
      <c r="C337" s="44" t="inlineStr">
        <is>
          <t>貿聯</t>
        </is>
      </c>
      <c r="D337" s="48" t="n">
        <v>3665</v>
      </c>
      <c r="E337" s="44" t="inlineStr">
        <is>
          <t>美系大行</t>
        </is>
      </c>
      <c r="F337" s="44" t="inlineStr">
        <is>
          <t>• 4月營收來到歷史新高，認為優於預期，QTD達成已39%。
• 認為主要貢獻來自於AEC。
• 5/14法說會。
• 重申正面評價不變。</t>
        </is>
      </c>
      <c r="G337" s="44" t="inlineStr">
        <is>
          <t>#4月新高 #QTD_39% #AEC</t>
        </is>
      </c>
    </row>
    <row r="338">
      <c r="A338" s="44" t="n">
        <v>337</v>
      </c>
      <c r="B338" s="44" t="inlineStr">
        <is>
          <t>2025/05/06</t>
        </is>
      </c>
      <c r="C338" s="44" t="inlineStr">
        <is>
          <t>信驊</t>
        </is>
      </c>
      <c r="D338" s="48" t="n">
        <v>5274</v>
      </c>
      <c r="E338" s="44" t="inlineStr">
        <is>
          <t>美系大行</t>
        </is>
      </c>
      <c r="F338" s="44" t="inlineStr">
        <is>
          <t>• 認為1Q result優於預期，預估2Q營收仍在高水位表現。
• 四月營收年增近7成，主要拉貨動能來自於中國。
• 然認為現在交易在PEX 40x，故維持EW評等不變。</t>
        </is>
      </c>
      <c r="G338" s="44" t="inlineStr">
        <is>
          <t>#1Q優於預期 #4月年增7成 #PE_40x</t>
        </is>
      </c>
    </row>
    <row r="339">
      <c r="A339" s="44" t="n">
        <v>338</v>
      </c>
      <c r="B339" s="44" t="inlineStr">
        <is>
          <t>2025/05/07</t>
        </is>
      </c>
      <c r="C339" s="44" t="inlineStr">
        <is>
          <t>緯創</t>
        </is>
      </c>
      <c r="D339" s="48" t="n">
        <v>3231</v>
      </c>
      <c r="E339" s="44" t="inlineStr">
        <is>
          <t>歐系大行</t>
        </is>
      </c>
      <c r="F339" s="44" t="inlineStr">
        <is>
          <t>• 上修25-26年EPS，預估由NT$8.26/9.91上調至NT$9.18/12.54，以明年13xPE評價。
• 認為1Q result優於預期。
• 展望2Q，預估營收季增15%，優於市場預期的9%。
• 預估全年營收成長53%也優於市場預期的42%。
• 同時，緯創也在增加資本支出，持續往北美佈局AI伺服器相關，儘管如此，還是能維持穩定現金流，預期配息率維持60%。
• 最後，持續有新客戶加入，肯定緯創產品組合逐漸從低毛利率NB出走轉型。</t>
        </is>
      </c>
      <c r="G339" s="44" t="inlineStr">
        <is>
          <t>#全年增53% #北美佈局 #配息率60%</t>
        </is>
      </c>
    </row>
    <row r="340">
      <c r="A340" s="44" t="n">
        <v>339</v>
      </c>
      <c r="B340" s="44" t="inlineStr">
        <is>
          <t>2025/05/07</t>
        </is>
      </c>
      <c r="C340" s="44" t="inlineStr">
        <is>
          <t>台光電</t>
        </is>
      </c>
      <c r="D340" s="48" t="n">
        <v>2383</v>
      </c>
      <c r="E340" s="44" t="inlineStr">
        <is>
          <t>美系券商</t>
        </is>
      </c>
      <c r="F340" s="44" t="inlineStr">
        <is>
          <t>• 認為接下來8個月內有新增20%的產能出來，先保守預估下半年營收較上半年增加6%。
• 目前在GB200/300有10-15%市占率，在高階switch有50%。
• 認為隨著新產能開出有助於持續推升市佔率。
• 短期而言，預估5-6月營收都有5-10%月增幅。
• 維持正向評價不變。</t>
        </is>
      </c>
      <c r="G340" s="44" t="inlineStr">
        <is>
          <t>#產能增20% #switch市佔50% #5-6月月增</t>
        </is>
      </c>
    </row>
    <row r="341">
      <c r="A341" s="44" t="n">
        <v>340</v>
      </c>
      <c r="B341" s="44" t="inlineStr">
        <is>
          <t>2025/05/07</t>
        </is>
      </c>
      <c r="C341" s="44" t="inlineStr">
        <is>
          <t>智邦</t>
        </is>
      </c>
      <c r="D341" s="48" t="n">
        <v>2345</v>
      </c>
      <c r="E341" s="44" t="inlineStr">
        <is>
          <t>美系大行</t>
        </is>
      </c>
      <c r="F341" s="44" t="inlineStr">
        <is>
          <t>• 四月營收再創歷史新高，QTD達成40%也優於預期。
• 持續往800G推進。
• 重申正面評價不變。</t>
        </is>
      </c>
      <c r="G341" s="44" t="inlineStr">
        <is>
          <t>#4月新高 #QTD_40% #800G</t>
        </is>
      </c>
    </row>
    <row r="342">
      <c r="A342" s="44" t="n">
        <v>341</v>
      </c>
      <c r="B342" s="44" t="inlineStr">
        <is>
          <t>2025/05/07</t>
        </is>
      </c>
      <c r="C342" s="44" t="inlineStr">
        <is>
          <t>金像電</t>
        </is>
      </c>
      <c r="D342" s="48" t="n">
        <v>2368</v>
      </c>
      <c r="E342" s="44" t="inlineStr">
        <is>
          <t>美系大行</t>
        </is>
      </c>
      <c r="F342" s="44" t="inlineStr">
        <is>
          <t>• 認為由於高階networking PCB良率進度，調高1Q毛利率的預估至29.5%。
• 展望2Q，出貨量持續增加，但考量匯率影響，略往下抓毛利率至28.6%。
• 不過，仍維持正向評價不變。</t>
        </is>
      </c>
      <c r="G342" s="44" t="inlineStr">
        <is>
          <t>#良率進度 #1Q毛利率29.5%</t>
        </is>
      </c>
    </row>
    <row r="343">
      <c r="A343" s="44" t="n">
        <v>342</v>
      </c>
      <c r="B343" s="44" t="inlineStr">
        <is>
          <t>2025/05/07</t>
        </is>
      </c>
      <c r="C343" s="44" t="inlineStr">
        <is>
          <t>義隆電</t>
        </is>
      </c>
      <c r="D343" s="48" t="n">
        <v>2458</v>
      </c>
      <c r="E343" s="44" t="inlineStr">
        <is>
          <t>美系大行</t>
        </is>
      </c>
      <c r="F343" s="44" t="inlineStr">
        <is>
          <t>• 法說會後，預估2Q營收成長低於過往季節性。
• 維持EW評等不變。</t>
        </is>
      </c>
      <c r="G343" s="44" t="inlineStr">
        <is>
          <t>#低於季節性 #維持EW</t>
        </is>
      </c>
    </row>
    <row r="344">
      <c r="A344" s="44" t="n">
        <v>343</v>
      </c>
      <c r="B344" s="44" t="inlineStr">
        <is>
          <t>2025/05/07</t>
        </is>
      </c>
      <c r="C344" s="44" t="inlineStr">
        <is>
          <t>世界</t>
        </is>
      </c>
      <c r="D344" s="48" t="n">
        <v>5347</v>
      </c>
      <c r="E344" s="44" t="inlineStr">
        <is>
          <t>美系大行</t>
        </is>
      </c>
      <c r="F344" s="44" t="inlineStr">
        <is>
          <t>• 法說會後，認為wafer price持續承壓。
• 同時比較台積電的3.5xPB，大於30%的26年ROE，世界目前的評價是3.7xPB，19-20%的26年ROE。
• 認為台積電還較具吸引力。</t>
        </is>
      </c>
      <c r="G344" s="44" t="inlineStr">
        <is>
          <t>#wafer_price壓 #評價偏高</t>
        </is>
      </c>
    </row>
    <row r="345">
      <c r="A345" s="44" t="n">
        <v>344</v>
      </c>
      <c r="B345" s="44" t="inlineStr">
        <is>
          <t>2025/05/08</t>
        </is>
      </c>
      <c r="C345" s="44" t="inlineStr">
        <is>
          <t>川湖</t>
        </is>
      </c>
      <c r="D345" s="48" t="n">
        <v>2059</v>
      </c>
      <c r="E345" s="44" t="inlineStr">
        <is>
          <t>美系大行</t>
        </is>
      </c>
      <c r="F345" s="44" t="inlineStr">
        <is>
          <t>• 認為1Q result大幅優於預期，尤其毛利率76.1%再創新頁。
• 四月營收表現也亮眼，QTD達成35%，亦優於預期。
• 觀察儘管匯率波動大，但毛利率仍會穩在高檔水平。
• 今日下午兩點法說會，肯定龍頭地位，維持正面評價不變。</t>
        </is>
      </c>
      <c r="G345" s="44" t="inlineStr">
        <is>
          <t>#毛利率76.1% #QTD_35% #龍頭地位</t>
        </is>
      </c>
    </row>
    <row r="346">
      <c r="A346" s="44" t="n">
        <v>345</v>
      </c>
      <c r="B346" s="44" t="inlineStr">
        <is>
          <t>2025/05/08</t>
        </is>
      </c>
      <c r="C346" s="44" t="inlineStr">
        <is>
          <t>鴻海</t>
        </is>
      </c>
      <c r="D346" s="48" t="n">
        <v>2317</v>
      </c>
      <c r="E346" s="44" t="inlineStr">
        <is>
          <t>美系大行</t>
        </is>
      </c>
      <c r="F346" s="44" t="inlineStr">
        <is>
          <t>• 正面解讀與三菱的EV汽車備忘錄。
• 肯定這是好的開始，期待未來更多案子進來。</t>
        </is>
      </c>
      <c r="G346" s="44" t="inlineStr">
        <is>
          <t>#三菱EV #備忘錄</t>
        </is>
      </c>
    </row>
    <row r="347">
      <c r="A347" s="44" t="n">
        <v>346</v>
      </c>
      <c r="B347" s="44" t="inlineStr">
        <is>
          <t>2025/05/08</t>
        </is>
      </c>
      <c r="C347" s="44" t="inlineStr">
        <is>
          <t>聯詠</t>
        </is>
      </c>
      <c r="D347" s="48" t="n">
        <v>3034</v>
      </c>
      <c r="E347" s="44" t="inlineStr">
        <is>
          <t>美系大行</t>
        </is>
      </c>
      <c r="F347" s="44" t="inlineStr">
        <is>
          <t>• 昨日法說會後，下修25-27年EPS至$34.4/$36.6/$40。
• 雖維持全年營收成長、40%毛利率目標不變。
• 不過，短期因應關稅及補貼的提早拉貨需求暫歇，預期2Q營收增長中位數在季增0.1%（匯率32元假設基礎）。
• 雖維持OW，但下修獲利及目標。</t>
        </is>
      </c>
      <c r="G347" s="44" t="inlineStr">
        <is>
          <t>#拉貨暫歇 #2Q季增0.1% #下修獲利</t>
        </is>
      </c>
    </row>
    <row r="348">
      <c r="A348" s="44" t="n">
        <v>347</v>
      </c>
      <c r="B348" s="44" t="inlineStr">
        <is>
          <t>2025/05/08</t>
        </is>
      </c>
      <c r="C348" s="44" t="inlineStr">
        <is>
          <t>群光</t>
        </is>
      </c>
      <c r="D348" s="48" t="n">
        <v>2385</v>
      </c>
      <c r="E348" s="44" t="inlineStr">
        <is>
          <t>美系券商</t>
        </is>
      </c>
      <c r="F348" s="44" t="inlineStr">
        <is>
          <t>• 法說會後，下修獲利，認為1Q不如預期。
• 預估2Q營收持續增長，泰國產能擴充，但匯率增添不確定性。
• 加上因供給緊缺導致gaming keyboard slow。
• 下修獲利及目標。</t>
        </is>
      </c>
      <c r="G348" s="44" t="inlineStr">
        <is>
          <t>#1Q不如預期 #gaming_keyboard慢</t>
        </is>
      </c>
    </row>
    <row r="349">
      <c r="A349" s="44" t="n">
        <v>348</v>
      </c>
      <c r="B349" s="44" t="inlineStr">
        <is>
          <t>2025/05/08</t>
        </is>
      </c>
      <c r="C349" s="44" t="inlineStr">
        <is>
          <t>南電</t>
        </is>
      </c>
      <c r="D349" s="48" t="n">
        <v>8046</v>
      </c>
      <c r="E349" s="44" t="inlineStr">
        <is>
          <t>美系券商</t>
        </is>
      </c>
      <c r="F349" s="44" t="inlineStr">
        <is>
          <t>• 認為1Q毛利率優於預期，因800G載版及成本控制得宜所致。
• 展望2Q，預期營收季增10%，產品組合持續優化。
• 儘管如此，綜合考量匯率及高階產品營收還在5-10%，加上成本T-glass偏高。
• 維持中性評價不變。</t>
        </is>
      </c>
      <c r="G349" s="44" t="inlineStr">
        <is>
          <t>#800G #2Q季增10% #維持中性</t>
        </is>
      </c>
    </row>
    <row r="350">
      <c r="A350" s="44" t="n">
        <v>349</v>
      </c>
      <c r="B350" s="44" t="inlineStr">
        <is>
          <t>2025/05/08</t>
        </is>
      </c>
      <c r="C350" s="44" t="inlineStr">
        <is>
          <t>元太</t>
        </is>
      </c>
      <c r="D350" s="48" t="n">
        <v>8069</v>
      </c>
      <c r="E350" s="44" t="inlineStr">
        <is>
          <t>美系大行</t>
        </is>
      </c>
      <c r="F350" s="44" t="inlineStr">
        <is>
          <t>• 儘管e-paper長期需求不變，但考量近期消費性的成長性有限。
• 降評至EW。</t>
        </is>
      </c>
      <c r="G350" s="44" t="inlineStr">
        <is>
          <t>#消費性有限 #降評EW</t>
        </is>
      </c>
    </row>
    <row r="351">
      <c r="A351" s="44" t="n">
        <v>350</v>
      </c>
      <c r="B351" s="44" t="inlineStr">
        <is>
          <t>2025/05/09</t>
        </is>
      </c>
      <c r="C351" s="44" t="inlineStr">
        <is>
          <t>智邦</t>
        </is>
      </c>
      <c r="D351" s="48" t="n">
        <v>2345</v>
      </c>
      <c r="E351" s="44" t="inlineStr">
        <is>
          <t>美系券商A</t>
        </is>
      </c>
      <c r="F351" s="44" t="inlineStr">
        <is>
          <t>• 二家有覆蓋的美系券商，不約而同都上修目標。今年EPS預估$40。
• 認為1Q result優於預期。
• 展望2Q，預估營收年增105%，預期毛利率跟OPM受匯率影響略下滑至18.1%/12.3%。
• 預估全年營收年增68%，上下半年持平。
• 800G、ASIC server仍為主要成長動能。</t>
        </is>
      </c>
      <c r="G351" s="44" t="inlineStr">
        <is>
          <t>#2Q年增105% #全年增68% #800G</t>
        </is>
      </c>
    </row>
    <row r="352">
      <c r="A352" s="44" t="n">
        <v>351</v>
      </c>
      <c r="B352" s="44" t="inlineStr">
        <is>
          <t>2025/05/09</t>
        </is>
      </c>
      <c r="C352" s="44" t="inlineStr">
        <is>
          <t>智邦</t>
        </is>
      </c>
      <c r="D352" s="48" t="n">
        <v>2345</v>
      </c>
      <c r="E352" s="44" t="inlineStr">
        <is>
          <t>美系券商B</t>
        </is>
      </c>
      <c r="F352" s="44" t="inlineStr">
        <is>
          <t>• 二家有覆蓋的美系券商，不約而同都上修目標。今年EPS預估$41.8，明年$48.9。
• 認為1Q result優於預期。
• 800G、ASIC server仍為主要成長動能。</t>
        </is>
      </c>
      <c r="G352" s="44" t="inlineStr">
        <is>
          <t>#EPS_41.8 #上修目標</t>
        </is>
      </c>
    </row>
    <row r="353">
      <c r="A353" s="44" t="n">
        <v>352</v>
      </c>
      <c r="B353" s="44" t="inlineStr">
        <is>
          <t>2025/05/09</t>
        </is>
      </c>
      <c r="C353" s="44" t="inlineStr">
        <is>
          <t>金像電</t>
        </is>
      </c>
      <c r="D353" s="48" t="n">
        <v>2368</v>
      </c>
      <c r="E353" s="44" t="inlineStr">
        <is>
          <t>美系大行</t>
        </is>
      </c>
      <c r="F353" s="44" t="inlineStr">
        <is>
          <t>• 1Q毛利率優於預期。
• 展望2Q，出貨量持續增加，不過匯率若變動1%，影響毛利率40-50bps。
• 先維持全年EPS$14.63不變，評等正向。</t>
        </is>
      </c>
      <c r="G353" s="44" t="inlineStr">
        <is>
          <t>#毛利率優於預期 #匯率影響</t>
        </is>
      </c>
    </row>
    <row r="354">
      <c r="A354" s="44" t="n">
        <v>353</v>
      </c>
      <c r="B354" s="44" t="inlineStr">
        <is>
          <t>2025/05/09</t>
        </is>
      </c>
      <c r="C354" s="44" t="inlineStr">
        <is>
          <t>建準</t>
        </is>
      </c>
      <c r="D354" s="48" t="n">
        <v>2421</v>
      </c>
      <c r="E354" s="44" t="inlineStr">
        <is>
          <t>美系大行</t>
        </is>
      </c>
      <c r="F354" s="44" t="inlineStr">
        <is>
          <t>• 認為1Q毛利率優於預期。
• 預估2Q營收季增10-20%，匯率變動1%，影響毛利率0.3ppt。
• 不過擴產角度未歇，預期今年新增產能20%，到2027年增50%。
• 預估25-27年EPS:$6.7/$6.9/$7.3。</t>
        </is>
      </c>
      <c r="G354" s="44" t="inlineStr">
        <is>
          <t>#2Q季增10-20% #產能增20%</t>
        </is>
      </c>
    </row>
    <row r="355">
      <c r="A355" s="44" t="n">
        <v>354</v>
      </c>
      <c r="B355" s="44" t="inlineStr">
        <is>
          <t>2025/05/09</t>
        </is>
      </c>
      <c r="C355" s="44" t="inlineStr">
        <is>
          <t>啟碁</t>
        </is>
      </c>
      <c r="D355" s="48" t="n">
        <v>6285</v>
      </c>
      <c r="E355" s="44" t="inlineStr">
        <is>
          <t>美系券商</t>
        </is>
      </c>
      <c r="F355" s="44" t="inlineStr">
        <is>
          <t>• 預估2Q營收季增7%。
• 低軌道衛星、wifi7、800G enterprise switch為成長主軸。
• 預期2Q毛利率還能較上季提升，至12.3%。
• 維持正面評價不變。</t>
        </is>
      </c>
      <c r="G355" s="44" t="inlineStr">
        <is>
          <t>#2Q季增7% #毛利率12.3%</t>
        </is>
      </c>
    </row>
    <row r="356">
      <c r="A356" s="44" t="n">
        <v>355</v>
      </c>
      <c r="B356" s="44" t="inlineStr">
        <is>
          <t>2025/05/12</t>
        </is>
      </c>
      <c r="C356" s="44" t="inlineStr">
        <is>
          <t>金像電</t>
        </is>
      </c>
      <c r="D356" s="48" t="n">
        <v>2368</v>
      </c>
      <c r="E356" s="44" t="inlineStr">
        <is>
          <t>眾券商</t>
        </is>
      </c>
      <c r="F356" s="44" t="inlineStr">
        <is>
          <t>• 法說會後，各券商紛紛上修今明天獲利預估。兩家美系今年EPS在$18附近，明年區間在$22-$25。
• 1Q result優於預期，毛利率上升至31.3%。
• 展望2Q，亞系預估營收季增13%，毛利率考量匯率後還有31.4%，持續增長。
• 成長主要來自ASIC server及800G。</t>
        </is>
      </c>
      <c r="G356" s="44" t="inlineStr">
        <is>
          <t>#毛利率31.3% #2Q季增13% #ASIC_800G</t>
        </is>
      </c>
    </row>
    <row r="357">
      <c r="A357" s="44" t="n">
        <v>356</v>
      </c>
      <c r="B357" s="44" t="inlineStr">
        <is>
          <t>2025/05/12</t>
        </is>
      </c>
      <c r="C357" s="44" t="inlineStr">
        <is>
          <t>台燿</t>
        </is>
      </c>
      <c r="D357" s="48" t="n">
        <v>6274</v>
      </c>
      <c r="E357" s="44" t="inlineStr">
        <is>
          <t>美系券商</t>
        </is>
      </c>
      <c r="F357" s="44" t="inlineStr">
        <is>
          <t>• 預估2Q產能利用率接近滿載（1Q是85%-90%）。
• 主要是M8材質帶動，搭配急單。
• 下半年有新客戶加入800G行列，泰國廠也會開始貢獻營收，並在4Q25產能達到滿載。
• 另外，M9有望在明年下半年開始量產。
• 預估25-27年EPS: $13.6/$19.3/$25.2，以2H25-1H26的16xPE評價。</t>
        </is>
      </c>
      <c r="G357" s="44" t="inlineStr">
        <is>
          <t>#產能滿載 #M9明年下半年 #泰國廠</t>
        </is>
      </c>
    </row>
    <row r="358">
      <c r="A358" s="44" t="n">
        <v>357</v>
      </c>
      <c r="B358" s="44" t="inlineStr">
        <is>
          <t>2025/05/12</t>
        </is>
      </c>
      <c r="C358" s="44" t="inlineStr">
        <is>
          <t>雙鴻</t>
        </is>
      </c>
      <c r="D358" s="48" t="n">
        <v>3324</v>
      </c>
      <c r="E358" s="44" t="inlineStr">
        <is>
          <t>美系大行</t>
        </is>
      </c>
      <c r="F358" s="44" t="inlineStr">
        <is>
          <t>• 認為1Q毛利率符合預期。
• 展望2Q，預期營收季增28%、年增32%。
• 水冷佔營收有望達25%。</t>
        </is>
      </c>
      <c r="G358" s="44" t="inlineStr">
        <is>
          <t>#2Q季增28% #水冷25%</t>
        </is>
      </c>
    </row>
    <row r="359">
      <c r="A359" s="44" t="n">
        <v>358</v>
      </c>
      <c r="B359" s="44" t="inlineStr">
        <is>
          <t>2025/05/12</t>
        </is>
      </c>
      <c r="C359" s="44" t="inlineStr">
        <is>
          <t>台達電</t>
        </is>
      </c>
      <c r="D359" s="48" t="n">
        <v>2308</v>
      </c>
      <c r="E359" s="44" t="inlineStr">
        <is>
          <t>美系大行</t>
        </is>
      </c>
      <c r="F359" s="44" t="inlineStr">
        <is>
          <t>• 四月營收月減6%、年增22%，不如預估。
• 不過認為6月會是當季主要營收貢獻月份，所以維持2Q季增6%預估不變。
• 不過認為side-car CDU下次叫顯著拉貨會在3Q中。</t>
        </is>
      </c>
      <c r="G359" s="44" t="inlineStr">
        <is>
          <t>#6月主要貢獻 #CDU_3Q中</t>
        </is>
      </c>
    </row>
    <row r="360">
      <c r="A360" s="44" t="n">
        <v>359</v>
      </c>
      <c r="B360" s="44" t="inlineStr">
        <is>
          <t>2025/05/12</t>
        </is>
      </c>
      <c r="C360" s="44" t="inlineStr">
        <is>
          <t>M31</t>
        </is>
      </c>
      <c r="D360" s="48" t="n">
        <v>6643</v>
      </c>
      <c r="E360" s="44" t="inlineStr">
        <is>
          <t>美系券商</t>
        </is>
      </c>
      <c r="F360" s="44" t="inlineStr">
        <is>
          <t>• 法說會後，下修25-27年EPS至$5.3/$10/$17.5。
• 儘管管理層給出正向展望，同時預期今年營收雙位數增長，但認為OPEX居高不下，難以產出顯著獲利。
• 維持EW，並下修獲利預估。</t>
        </is>
      </c>
      <c r="G360" s="44" t="inlineStr">
        <is>
          <t>#OPEX高 #維持EW #下修獲利</t>
        </is>
      </c>
    </row>
  </sheetData>
  <autoFilter ref="A1:G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0" customWidth="1" min="3" max="3"/>
    <col width="15" customWidth="1" min="4" max="4"/>
    <col width="70" customWidth="1" min="5" max="5"/>
    <col width="30" customWidth="1" min="6" max="6"/>
    <col width="35" customWidth="1" min="7" max="7"/>
  </cols>
  <sheetData>
    <row r="1" ht="30" customHeight="1">
      <c r="A1" s="1" t="inlineStr">
        <is>
          <t>編號</t>
        </is>
      </c>
      <c r="B1" s="1" t="inlineStr">
        <is>
          <t>日期</t>
        </is>
      </c>
      <c r="C1" s="1" t="inlineStr">
        <is>
          <t>產業主題</t>
        </is>
      </c>
      <c r="D1" s="1" t="inlineStr">
        <is>
          <t>券商來源</t>
        </is>
      </c>
      <c r="E1" s="1" t="inlineStr">
        <is>
          <t>完整內容</t>
        </is>
      </c>
      <c r="F1" s="1" t="inlineStr">
        <is>
          <t>相關公司群</t>
        </is>
      </c>
      <c r="G1" s="1" t="inlineStr">
        <is>
          <t>標籤</t>
        </is>
      </c>
    </row>
    <row r="2" ht="80" customHeight="1">
      <c r="A2" s="42" t="inlineStr">
        <is>
          <t>T001</t>
        </is>
      </c>
      <c r="B2" s="2" t="inlineStr">
        <is>
          <t>2025/11/10</t>
        </is>
      </c>
      <c r="C2" s="2" t="inlineStr">
        <is>
          <t>GB200/GB300機櫃出貨</t>
        </is>
      </c>
      <c r="D2" s="2" t="inlineStr">
        <is>
          <t>美系大行</t>
        </is>
      </c>
      <c r="E2" s="47" t="inlineStr">
        <is>
          <t>• 美系大行預估4Q總機櫃出貨量可望顯著成長至14,000–15,000台，高於第3季的8,000–8,500台。
• GB300生產已啟動，將順利放量，未聞任何良率問題。</t>
        </is>
      </c>
      <c r="F2" s="3" t="inlineStr">
        <is>
          <t>緯穎(6669)、廣達(2382)、英業達(2356)、鴻海(2317)</t>
        </is>
      </c>
      <c r="G2" s="3" t="inlineStr">
        <is>
          <t>#GB200 #GB300 #NVL72 #AI伺服器</t>
        </is>
      </c>
    </row>
    <row r="3" ht="80" customHeight="1">
      <c r="A3" s="42" t="inlineStr">
        <is>
          <t>T002</t>
        </is>
      </c>
      <c r="B3" s="2" t="inlineStr">
        <is>
          <t>2025/10/31</t>
        </is>
      </c>
      <c r="C3" s="2" t="inlineStr">
        <is>
          <t>AI供應鏈CoWoS產能追蹤</t>
        </is>
      </c>
      <c r="D3" s="2" t="inlineStr">
        <is>
          <t>美系大行</t>
        </is>
      </c>
      <c r="E3" s="47" t="inlineStr">
        <is>
          <t>• 美系大行針對CoWoS產能更新：台積電陣營AMD上修至9萬片（MI400需求）、Broadcom維持2.
• 8mn、聯發科維持0.2m、AWS Trainium3維持1.
• 2m。
• 非台積電陣營：日月光與矽品FoCoS/CoWoS產能年底達8K片/月、明年擴至2萬片/月；Amkor年底達1.
• 5萬片/月、明年擴至2萬片/月。</t>
        </is>
      </c>
      <c r="F3" s="3" t="inlineStr">
        <is>
          <t>AMD、Broadcom、聯發科、AWS、日月光(3711)、矽品、Amkor</t>
        </is>
      </c>
      <c r="G3" s="3" t="inlineStr">
        <is>
          <t>#CoWoS #AMD #Broadcom #日月光</t>
        </is>
      </c>
    </row>
    <row r="4" ht="80" customHeight="1">
      <c r="A4" s="42" t="inlineStr">
        <is>
          <t>T003</t>
        </is>
      </c>
      <c r="B4" s="2" t="inlineStr">
        <is>
          <t>2025/11/03</t>
        </is>
      </c>
      <c r="C4" s="2" t="inlineStr">
        <is>
          <t>散熱產業趨勢</t>
        </is>
      </c>
      <c r="D4" s="2" t="inlineStr">
        <is>
          <t>美系大行</t>
        </is>
      </c>
      <c r="E4" s="47" t="inlineStr">
        <is>
          <t>• GB300伺服器機櫃的散熱元件價值較GB200提升200%，VR對GB300再提升17%。
• Vera Rubin computing trays可能採標準化設計（cold plate）。
• ASIC方面AWS Trainium 3與Meta MTIA都採水冷設計，Google TPU明年轉向亞洲供應鏈。
• 水冷滲透率明年大幅提高。</t>
        </is>
      </c>
      <c r="F4" s="3" t="inlineStr">
        <is>
          <t>奇鋐(3017)、富世達(6805)、雙鴻(3324)、建準(2421)</t>
        </is>
      </c>
      <c r="G4" s="3" t="inlineStr">
        <is>
          <t>#GB300 #水冷 #散熱 #ASIC</t>
        </is>
      </c>
    </row>
    <row r="5" ht="80" customHeight="1">
      <c r="A5" s="42" t="inlineStr">
        <is>
          <t>T004</t>
        </is>
      </c>
      <c r="B5" s="2" t="inlineStr">
        <is>
          <t>2025/10/29</t>
        </is>
      </c>
      <c r="C5" s="2" t="inlineStr">
        <is>
          <t>封測產業漲價潮</t>
        </is>
      </c>
      <c r="D5" s="2" t="inlineStr">
        <is>
          <t>美系大行</t>
        </is>
      </c>
      <c r="E5" s="47" t="inlineStr">
        <is>
          <t>• 半導體通膨已經開始：台積電漲價、記憶體報價能力提升、矽晶圓片預期上漲，漲勢延續到封測。
• 預估先進封裝價格將上漲5-10%，這是自COVID-19晶片短缺以來首次漲價潮。</t>
        </is>
      </c>
      <c r="F5" s="3" t="inlineStr">
        <is>
          <t>京元電(2449)、日月光(3711)、其他封測廠</t>
        </is>
      </c>
      <c r="G5" s="3" t="inlineStr">
        <is>
          <t>#封測 #漲價 #先進封裝</t>
        </is>
      </c>
    </row>
    <row r="6">
      <c r="A6" s="42" t="inlineStr">
        <is>
          <t>T005</t>
        </is>
      </c>
      <c r="B6" s="43" t="inlineStr">
        <is>
          <t>2025/10/27</t>
        </is>
      </c>
      <c r="C6" s="43" t="inlineStr">
        <is>
          <t>Vertiv財報解讀</t>
        </is>
      </c>
      <c r="D6" s="43" t="inlineStr">
        <is>
          <t>美系大行</t>
        </is>
      </c>
      <c r="E6" s="44" t="inlineStr">
        <is>
          <t>• 3Q營收季增2成、年增6成，BB ratio上升至1.4x。
• 公司guide 4Q營收續增，還要擴充產能。</t>
        </is>
      </c>
      <c r="F6" s="43" t="inlineStr">
        <is>
          <t>台達電(2308)、奇鋐(3017)、富世達(6805)</t>
        </is>
      </c>
      <c r="G6" s="43" t="inlineStr">
        <is>
          <t>#Vertiv #AI伺服器</t>
        </is>
      </c>
    </row>
    <row r="7">
      <c r="A7" s="42" t="inlineStr">
        <is>
          <t>T006</t>
        </is>
      </c>
      <c r="B7" s="43" t="inlineStr">
        <is>
          <t>2025/10/21</t>
        </is>
      </c>
      <c r="C7" s="43" t="inlineStr">
        <is>
          <t>OCP大會四大重點</t>
        </is>
      </c>
      <c r="D7" s="43" t="inlineStr">
        <is>
          <t>美系大行</t>
        </is>
      </c>
      <c r="E7" s="44" t="inlineStr">
        <is>
          <t>• AMD的Helios機櫃、800V直流電架構、Google Deschutes 2MW CDU以及ESUN網路。
• GB300運算模組已進入量產階段，採用85%液冷+15%氣冷混合設計。
• 次世代VR200正在測試，預計2026年3Q投入生產。</t>
        </is>
      </c>
      <c r="F7" s="43" t="inlineStr">
        <is>
          <t>AMD、Meta、Google、Nvidia</t>
        </is>
      </c>
      <c r="G7" s="43" t="inlineStr">
        <is>
          <t>#OCP #Helios #800VDC #GB300 #VR200</t>
        </is>
      </c>
    </row>
    <row r="8">
      <c r="A8" s="42" t="inlineStr">
        <is>
          <t>T007</t>
        </is>
      </c>
      <c r="B8" s="43" t="inlineStr">
        <is>
          <t>2025/10/07</t>
        </is>
      </c>
      <c r="C8" s="43" t="inlineStr">
        <is>
          <t>PCB產業觀察-BT雙位數缺口</t>
        </is>
      </c>
      <c r="D8" s="43" t="inlineStr">
        <is>
          <t>美系券商</t>
        </is>
      </c>
      <c r="E8" s="44" t="inlineStr">
        <is>
          <t>• T-glass短缺對BT影響比預期嚴重。
• 預期未來會有雙位數供給缺口，且預期會有5-10%實質漲價。
• PCB/CCL有供給缺口，狀況會延續到明年2-3季。</t>
        </is>
      </c>
      <c r="F8" s="43" t="inlineStr">
        <is>
          <t>PCB產業、CCL產業</t>
        </is>
      </c>
      <c r="G8" s="43" t="inlineStr">
        <is>
          <t>#BT #T-glass #供給缺口</t>
        </is>
      </c>
    </row>
    <row r="9">
      <c r="A9" s="42" t="inlineStr">
        <is>
          <t>T008</t>
        </is>
      </c>
      <c r="B9" s="43" t="inlineStr">
        <is>
          <t>2025/10/03</t>
        </is>
      </c>
      <c r="C9" s="43" t="inlineStr">
        <is>
          <t>OpenAI供應鏈</t>
        </is>
      </c>
      <c r="D9" s="43" t="inlineStr">
        <is>
          <t>美系券商</t>
        </is>
      </c>
      <c r="E9" s="44" t="inlineStr">
        <is>
          <t>OpenAI新宣布10GW專案相當於8萬台以上GB200 NVL72機櫃，或2,500億美元機櫃層級資本支出。</t>
        </is>
      </c>
      <c r="F9" s="43" t="inlineStr">
        <is>
          <t>台積電(2330)、日月光(3711)、欣興(3037)、南亞科(2408)、台達電(2308)</t>
        </is>
      </c>
      <c r="G9" s="43" t="inlineStr">
        <is>
          <t>#OpenAI #10GW #GB200</t>
        </is>
      </c>
    </row>
    <row r="10">
      <c r="A10" s="44" t="inlineStr">
        <is>
          <t>T009</t>
        </is>
      </c>
      <c r="B10" s="44" t="inlineStr">
        <is>
          <t>2025/08/28</t>
        </is>
      </c>
      <c r="C10" s="44" t="inlineStr">
        <is>
          <t>AI股票策略</t>
        </is>
      </c>
      <c r="D10" s="44" t="inlineStr">
        <is>
          <t>日系券商</t>
        </is>
      </c>
      <c r="E10" s="44" t="inlineStr">
        <is>
          <t>• 亞太地區和新興市場AI採用者比例從30%升至34%。
• AI重要性為中等或更高的公司從24%升至31%。
• 看到從半導體產業向基礎設施和應用型企業輪動跡象。
• 採用AI且具高定價能力的公司表現優於其他公司。</t>
        </is>
      </c>
      <c r="F10" s="44" t="inlineStr">
        <is>
          <t>迅銷(9983)、Recruit holdings(6098)、Secom(9753)</t>
        </is>
      </c>
      <c r="G10" s="44" t="inlineStr">
        <is>
          <t>#AI應用 #產業輪動 #日股</t>
        </is>
      </c>
    </row>
    <row r="11">
      <c r="A11" s="44" t="inlineStr">
        <is>
          <t>T010</t>
        </is>
      </c>
      <c r="B11" s="44" t="inlineStr">
        <is>
          <t>2025/08/28</t>
        </is>
      </c>
      <c r="C11" s="44" t="inlineStr">
        <is>
          <t>日本半導體設備產業</t>
        </is>
      </c>
      <c r="D11" s="44" t="inlineStr">
        <is>
          <t>日系券商</t>
        </is>
      </c>
      <c r="E11" s="44" t="inlineStr">
        <is>
          <t>• 台積電N2製程不再使用中國產SPE，可能回應美國中國EQUIP法案。
• 東京威力科創(8035)在蝕刻系統領域競爭。
• SCREEN(7735)和國際電氣(6525)將受益。
• 中國製造商在清洗系統和垂直熱處理爐技術進步構成威脅。</t>
        </is>
      </c>
      <c r="F11" s="44" t="inlineStr">
        <is>
          <t>東京威力科創(8035)、SCREEN(7735)、國際電氣(6525)</t>
        </is>
      </c>
      <c r="G11" s="44" t="inlineStr">
        <is>
          <t>#半導體設備 #台積電 #日股</t>
        </is>
      </c>
    </row>
    <row r="12">
      <c r="A12" s="44" t="inlineStr">
        <is>
          <t>T011</t>
        </is>
      </c>
      <c r="B12" s="44" t="inlineStr">
        <is>
          <t>2025/08/26</t>
        </is>
      </c>
      <c r="C12" s="44" t="inlineStr">
        <is>
          <t>ABF產業漲價潮</t>
        </is>
      </c>
      <c r="D12" s="44" t="inlineStr">
        <is>
          <t>美系券商</t>
        </is>
      </c>
      <c r="E12" s="44" t="inlineStr">
        <is>
          <t>• non-NVDA ABF報價2025Q4起每季上漲5-10%，延續到2026Q4。
• T-glass短缺將更嚴重，BT/高階ABF年底供給短缺。
• 主要受惠者：南電（50-55%曝險）。
• 次要受惠者：臻鼎（BT與ABF曝險約20%）。</t>
        </is>
      </c>
      <c r="F12" s="44" t="inlineStr">
        <is>
          <t>南電(8046)、景碩(3189)、臻鼎(4958)、欣興(3037)</t>
        </is>
      </c>
      <c r="G12" s="44" t="inlineStr">
        <is>
          <t>#ABF #BT #T-glass #漲價</t>
        </is>
      </c>
    </row>
    <row r="13">
      <c r="A13" s="44" t="inlineStr">
        <is>
          <t>T012</t>
        </is>
      </c>
      <c r="B13" s="44" t="inlineStr">
        <is>
          <t>2025/08/25</t>
        </is>
      </c>
      <c r="C13" s="44" t="inlineStr">
        <is>
          <t>中國手機8月市況</t>
        </is>
      </c>
      <c r="D13" s="44" t="inlineStr">
        <is>
          <t>美系券商</t>
        </is>
      </c>
      <c r="E13" s="44" t="inlineStr">
        <is>
          <t>• 本月新機多以中低階為主，SoC多採用聯發科。
• 接下來高階機種上市：Huawei Mate XTs、Vivo X300、Oppo Find X9。
• 鏡頭升至200MP。
• 供應鏈受惠台廠：台積電、聯發科、大立光。</t>
        </is>
      </c>
      <c r="F13" s="44" t="inlineStr">
        <is>
          <t>台積電(2330)、聯發科(2454)、大立光(3008)</t>
        </is>
      </c>
      <c r="G13" s="44" t="inlineStr">
        <is>
          <t>#中國手機 #聯發科 #鏡頭升級</t>
        </is>
      </c>
    </row>
    <row r="14">
      <c r="A14" s="44" t="inlineStr">
        <is>
          <t>T013</t>
        </is>
      </c>
      <c r="B14" s="44" t="inlineStr">
        <is>
          <t>2025/08/18</t>
        </is>
      </c>
      <c r="C14" s="44" t="inlineStr">
        <is>
          <t>GB系列出貨量上修</t>
        </is>
      </c>
      <c r="D14" s="44" t="inlineStr">
        <is>
          <t>美系大行</t>
        </is>
      </c>
      <c r="E14" s="44" t="inlineStr">
        <is>
          <t>• 上修今年GB200/300出貨量：3Q:11.6k櫃、4Q:15.7k櫃、全年：34k（原30k）。
• 今年GB200/300機櫃比87%/13%。
• ODM偏好順序：鴻海&gt;緯創&gt;廣達。
• Rubin晶片10月從台積電流片出爐，ES將於4Q25出貨。
• 2026年3月完成設計定案，2Q26啟動大規模生產。</t>
        </is>
      </c>
      <c r="F14" s="44" t="inlineStr">
        <is>
          <t>鴻海(2317)、緯創(3231)、廣達(2382)</t>
        </is>
      </c>
      <c r="G14" s="44" t="inlineStr">
        <is>
          <t>#GB200 #GB300 #Rubin #出貨量上修</t>
        </is>
      </c>
    </row>
    <row r="15">
      <c r="A15" s="44" t="inlineStr">
        <is>
          <t>T014</t>
        </is>
      </c>
      <c r="B15" s="44" t="inlineStr">
        <is>
          <t>2025/08/18</t>
        </is>
      </c>
      <c r="C15" s="44" t="inlineStr">
        <is>
          <t>chiplet帶動先進封裝</t>
        </is>
      </c>
      <c r="D15" s="44" t="inlineStr">
        <is>
          <t>美系券商</t>
        </is>
      </c>
      <c r="E15" s="44" t="inlineStr">
        <is>
          <t>• 預估5nm以下製程chiplet於2025-2027E達21%/30%/37%。
• 2nm會加速，支撐更持續與多元CoWoS需求。
• CoWoS產能/出貨2025-2027E以71%/63% CAGR成長。
• 產能擴張至698k/1,335k/2,033k，出貨達686k/1,202k/1,829k。
• AMD Venice採用ASE的FOCoS-Bridge技術。
• 2026年Broadcom Tomahawk轉向CoWoS-S。</t>
        </is>
      </c>
      <c r="F15" s="44" t="inlineStr">
        <is>
          <t>台積電(2330)、日月光(3711)、萬潤、弘塑(3131)</t>
        </is>
      </c>
      <c r="G15" s="44" t="inlineStr">
        <is>
          <t>#chiplet #CoWoS #先進封裝 #2nm</t>
        </is>
      </c>
    </row>
    <row r="16">
      <c r="A16" s="44" t="inlineStr">
        <is>
          <t>T015</t>
        </is>
      </c>
      <c r="B16" s="44" t="inlineStr">
        <is>
          <t>2025/08/14</t>
        </is>
      </c>
      <c r="C16" s="44" t="inlineStr">
        <is>
          <t>PCB產業CCL升級趨勢</t>
        </is>
      </c>
      <c r="D16" s="44" t="inlineStr">
        <is>
          <t>美系券商</t>
        </is>
      </c>
      <c r="E16" s="44" t="inlineStr">
        <is>
          <t>• 產品層數從2024年22-24層，2026/27年增至28層，2028年增至34-42層。
• 主流CCL規格從2024/25年M7升級至2026年M8，2027/28年進一步升級至M9。
• M7-M8以上毛利率在4-5成。
• 3Q:金像電上修泰國一期月產能金額、台光電宣布新資本支出、台燿泰國一期投產。</t>
        </is>
      </c>
      <c r="F16" s="44" t="inlineStr">
        <is>
          <t>台光電(2383)、金像電(2368)、台燿(6274)</t>
        </is>
      </c>
      <c r="G16" s="44" t="inlineStr">
        <is>
          <t>#CCL #M8 #M9 #泰國擴廠</t>
        </is>
      </c>
    </row>
    <row r="17">
      <c r="A17" s="44" t="inlineStr">
        <is>
          <t>T016</t>
        </is>
      </c>
      <c r="B17" s="44" t="inlineStr">
        <is>
          <t>2025/08/11</t>
        </is>
      </c>
      <c r="C17" s="44" t="inlineStr">
        <is>
          <t>GB200 NVL72出貨追蹤</t>
        </is>
      </c>
      <c r="D17" s="44" t="inlineStr">
        <is>
          <t>美系大行</t>
        </is>
      </c>
      <c r="E17" s="44" t="inlineStr">
        <is>
          <t>• 7月GB200機櫃產量降至約2千台，較6月約2.5千台下降。
• 今年累計約9千台，預期3Q底達1萬至1.1萬台。
• 廣達：7月出貨400-500台，累計約2千台。
• 緯創：7月出貨相當於500-600台運算模組，累計約2.6千台。
• 鴻海：7月出貨約1千台，累計約4-4.5千台。</t>
        </is>
      </c>
      <c r="F17" s="44" t="inlineStr">
        <is>
          <t>廣達(2382)、緯創(3231)、鴻海(2317)</t>
        </is>
      </c>
      <c r="G17" s="44" t="inlineStr">
        <is>
          <t>#GB200 #NVL72 #出貨追蹤</t>
        </is>
      </c>
    </row>
    <row r="18">
      <c r="A18" s="44" t="inlineStr">
        <is>
          <t>T017</t>
        </is>
      </c>
      <c r="B18" s="44" t="inlineStr">
        <is>
          <t>2025/08/08</t>
        </is>
      </c>
      <c r="C18" s="44" t="inlineStr">
        <is>
          <t>PCB高階產能短缺</t>
        </is>
      </c>
      <c r="D18" s="44" t="inlineStr">
        <is>
          <t>美系券商</t>
        </is>
      </c>
      <c r="E18" s="44" t="inlineStr">
        <is>
          <t>• AI需求若渴，短期內PCB高階產能短缺。
• 東南亞新廠初期良率提升需要時間。
• CSP廠在認證新供應商。
• Tier-1及Tier-2廠商如金像電、健鼎受益此趨勢。</t>
        </is>
      </c>
      <c r="F18" s="44" t="inlineStr">
        <is>
          <t>金像電(2368)、健鼎(3044)</t>
        </is>
      </c>
      <c r="G18" s="44" t="inlineStr">
        <is>
          <t>#PCB短缺 #供應商認證 #東南亞</t>
        </is>
      </c>
    </row>
    <row r="19">
      <c r="A19" s="44" t="inlineStr">
        <is>
          <t>T018</t>
        </is>
      </c>
      <c r="B19" s="44" t="inlineStr">
        <is>
          <t>2025/08/07</t>
        </is>
      </c>
      <c r="C19" s="44" t="inlineStr">
        <is>
          <t>2025 OCP APAC Summit</t>
        </is>
      </c>
      <c r="D19" s="44" t="inlineStr">
        <is>
          <t>美系大行</t>
        </is>
      </c>
      <c r="E19" s="44" t="inlineStr">
        <is>
          <t>• 電源升級：未來三年兩波升級，先是HVDC側艙擴大部署，再是MVDC+SST導入(2028年)，單機櫃&gt;1MW、單伺服器&gt;10kW。
• 全水冷(liquid to liquid)：單相液冷結合漏液偵測與電介質冷卻液，雙相液冷是下一階段演進，具備更高系統控制能力。
• 超級電容應用於AI電源管理。
• 液冷母線匯流排目標提升5倍電流容量。</t>
        </is>
      </c>
      <c r="F19" s="44" t="inlineStr">
        <is>
          <t>奇鋐(3017)、富世達(6805)、台達電(2308)</t>
        </is>
      </c>
      <c r="G19" s="44" t="inlineStr">
        <is>
          <t>#OCP #HVDC #MVDC #液冷 #電源升級</t>
        </is>
      </c>
    </row>
    <row r="20">
      <c r="A20" s="44" t="inlineStr">
        <is>
          <t>T019</t>
        </is>
      </c>
      <c r="B20" s="44" t="inlineStr">
        <is>
          <t>2025/08/06</t>
        </is>
      </c>
      <c r="C20" s="44" t="inlineStr">
        <is>
          <t>CSP資本支出大幅上修</t>
        </is>
      </c>
      <c r="D20" s="44" t="inlineStr">
        <is>
          <t>美系大行</t>
        </is>
      </c>
      <c r="E20" s="44" t="inlineStr">
        <is>
          <t>• 今年CSP大廠資本支出年增率上修至56% from 39%。
• 明年資本支出年增率上修至31% from 16%。
• 台積電CoWoS明年產能先維持93kwpm預估。</t>
        </is>
      </c>
      <c r="F20" s="44" t="inlineStr">
        <is>
          <t>台積電(2330)</t>
        </is>
      </c>
      <c r="G20" s="44" t="inlineStr">
        <is>
          <t>#CSP #資本支出 #CoWoS</t>
        </is>
      </c>
    </row>
    <row r="21">
      <c r="A21" s="44" t="inlineStr">
        <is>
          <t>T020</t>
        </is>
      </c>
      <c r="B21" s="44" t="inlineStr">
        <is>
          <t>2025/08/06</t>
        </is>
      </c>
      <c r="C21" s="44" t="inlineStr">
        <is>
          <t>CSP資本支出大幅上修</t>
        </is>
      </c>
      <c r="D21" s="44" t="inlineStr">
        <is>
          <t>美系大行</t>
        </is>
      </c>
      <c r="E21" s="44" t="inlineStr">
        <is>
          <t>• 今年CSP大廠資本支出年增率上修至56% from 39%。
• 明年資本支出年增率上修至31% from 16%。
• 台積電CoWoS明年產能先維持93kwpm預估。</t>
        </is>
      </c>
      <c r="F21" s="44" t="inlineStr">
        <is>
          <t>台積電(2330)</t>
        </is>
      </c>
      <c r="G21" s="44" t="inlineStr">
        <is>
          <t>#CSP #資本支出 #CoWoS</t>
        </is>
      </c>
    </row>
    <row r="22">
      <c r="A22" s="44" t="inlineStr">
        <is>
          <t>T021</t>
        </is>
      </c>
      <c r="B22" s="44" t="inlineStr">
        <is>
          <t>2025/07/31</t>
        </is>
      </c>
      <c r="C22" s="44" t="inlineStr">
        <is>
          <t>DDR4供給缺口</t>
        </is>
      </c>
      <c r="D22" s="44" t="inlineStr">
        <is>
          <t>美系大行</t>
        </is>
      </c>
      <c r="E22" s="44" t="inlineStr">
        <is>
          <t>• 通路調研得出，未來三個季度內DDR4有出現10-15%供給缺口。
• 這一缺口可能於2026年下半年收斂，具體視需求轉向DDR4或DDR5而定。
• 報價：受PC OEM客戶低庫存支持而上漲，但此價格能否延續到4Q仍不確定。
• NAND控制器開始見到微幅回補，認為群聯、慧榮等廠商受益。</t>
        </is>
      </c>
      <c r="F22" s="44" t="inlineStr">
        <is>
          <t>華邦電(2344)、群聯(8299)、慧榮(3017)</t>
        </is>
      </c>
      <c r="G22" s="44" t="inlineStr">
        <is>
          <t>#DDR4缺口 #NAND控制器</t>
        </is>
      </c>
    </row>
    <row r="23">
      <c r="A23" s="44" t="inlineStr">
        <is>
          <t>T022</t>
        </is>
      </c>
      <c r="B23" s="44" t="inlineStr">
        <is>
          <t>2025/07/30</t>
        </is>
      </c>
      <c r="C23" s="44" t="inlineStr">
        <is>
          <t>CoWoP技術評估</t>
        </is>
      </c>
      <c r="D23" s="44" t="inlineStr">
        <is>
          <t>美系大行</t>
        </is>
      </c>
      <c r="E23" s="44" t="inlineStr">
        <is>
          <t>• 台日團隊共同認為Nvidia Rubin Ultra不會採用CoWoP。
• 從日廠Ibiden調研指出Rubin Ultra的ABF載板面積遠大於Rubin，且層數更多。
• 若要將PCB的L/S從20/35微米進一步縮小到10/10微米以下，將非常困難。
• 因若要採用CoWoP技術，PCB的線寬/線距需縮小至小於10/10微米，才能與目前ABF載板水準一致。
• 目前HDI板平均L/S為40/50微米，iPhone主機板採用的SLP平均為20/35微米。
• 長遠來看，CoWoP可簡化GPU板卡製造流程，假設會採用的話，預期同SLP相同製程技術。
• 認為擁有mSAP的有臻鼎、華通、欣興，國際的有AT&amp;S、TTM，但對ABF恐是負面解讀。</t>
        </is>
      </c>
      <c r="F23" s="44" t="inlineStr">
        <is>
          <t>臻鼎(4958)、華通(2313)、欣興(3037)</t>
        </is>
      </c>
      <c r="G23" s="44" t="inlineStr">
        <is>
          <t>#CoWoP #SLP #mSAP</t>
        </is>
      </c>
    </row>
    <row r="24">
      <c r="A24" s="44" t="inlineStr">
        <is>
          <t>T023</t>
        </is>
      </c>
      <c r="B24" s="44" t="inlineStr">
        <is>
          <t>2025/07/30</t>
        </is>
      </c>
      <c r="C24" s="44" t="inlineStr">
        <is>
          <t>化工產業供需改善</t>
        </is>
      </c>
      <c r="D24" s="44" t="inlineStr">
        <is>
          <t>美系大行</t>
        </is>
      </c>
      <c r="E24" s="44" t="inlineStr">
        <is>
          <t>• 由於中國帶起反內卷，觀察2025-2028年產能成長預估較目前預期放緩25%，為正向訊號。
• 中國以外地區產能利用率降低與永久性關廠情況已愈來愈明顯，若能持續將有助供需重新平衡。
• 同時2025年烯烴價格與利潤穩定，HDPE/LDPE、PVC與對二甲苯（PX）利潤率正逐步改善。
• 券商對該產業觀察翻多，因過度供給已達高峰，下行風險有限。</t>
        </is>
      </c>
      <c r="F24" s="44" t="inlineStr">
        <is>
          <t>化工產業</t>
        </is>
      </c>
      <c r="G24" s="44" t="inlineStr">
        <is>
          <t>#化工 #反內卷 #供需平衡</t>
        </is>
      </c>
    </row>
    <row r="25">
      <c r="A25" s="44" t="inlineStr">
        <is>
          <t>T024</t>
        </is>
      </c>
      <c r="B25" s="44" t="inlineStr">
        <is>
          <t>2025/07/30</t>
        </is>
      </c>
      <c r="C25" s="44" t="inlineStr">
        <is>
          <t>BBU產業成長</t>
        </is>
      </c>
      <c r="D25" s="44" t="inlineStr">
        <is>
          <t>美系券商</t>
        </is>
      </c>
      <c r="E25" s="44" t="inlineStr">
        <is>
          <t>• AI資料中心採用BBU日益增長，將推升全球消費性鋰電池出貨量與產品組合。
• 相關BBU價值鏈上關鍵業者將因此受惠。
• 中國以外資料中心面臨電網不穩定問題，因此可靠備援電源至關重要。
• 順達在全球BBU模組市場市佔率約20-30%，與台達電合作致力鞏固市佔率。
• 預期順達2023-2025年銷售CAGR可達100%。</t>
        </is>
      </c>
      <c r="F25" s="44" t="inlineStr">
        <is>
          <t>順達(3211)、台達電(2308)</t>
        </is>
      </c>
      <c r="G25" s="44" t="inlineStr">
        <is>
          <t>#BBU #鋰電池 #備援電源</t>
        </is>
      </c>
    </row>
    <row r="26">
      <c r="A26" s="44" t="inlineStr">
        <is>
          <t>T025</t>
        </is>
      </c>
      <c r="B26" s="44" t="inlineStr">
        <is>
          <t>2025/07/29</t>
        </is>
      </c>
      <c r="C26" s="44" t="inlineStr">
        <is>
          <t>2026年CoWoS產能分配</t>
        </is>
      </c>
      <c r="D26" s="44" t="inlineStr">
        <is>
          <t>美系大行</t>
        </is>
      </c>
      <c r="E26" s="44" t="inlineStr">
        <is>
          <t>• 關於H20、B40，維持預估H20 100萬顆、B40 20萬顆。
• 觀察騰訊有意採購H20但B40尚未確認，不過看到AMD有上修，從CoWoS-S今年看到從50k升至60k。
• 世芯明年升至50k from 40k。
• 明年CoWoS狀況：
  - Nvidia: CoWoS-L: 510k（隱含540萬顆晶片，其中240萬是Rubin），Amkor也訂60k CoWoS-R for Vera CPU、GB10、N1X、auto chips。日月光也訂R、20k for Vera。
  - AMD: 80k for MI355 and MI400，Venice CPU用L。
  - Broadcom：14.5k，裡頭包含TPU:8.5k、Meta:5k、OpenAI:1k，還有5k用S在日月光為Google TPU。
  - Marvell:30k在R for AWS T2.5，25k在S for Maia300。
  - 聯發科：20k for Google TPU。</t>
        </is>
      </c>
      <c r="F26" s="44" t="inlineStr">
        <is>
          <t>台積電(2330)、世芯(3661)、日月光(3711)、Amkor</t>
        </is>
      </c>
      <c r="G26" s="44" t="inlineStr">
        <is>
          <t>#CoWoS #2026產能 #Rubin</t>
        </is>
      </c>
    </row>
    <row r="27">
      <c r="A27" s="44" t="inlineStr">
        <is>
          <t>T026</t>
        </is>
      </c>
      <c r="B27" s="44" t="inlineStr">
        <is>
          <t>2025/07/28</t>
        </is>
      </c>
      <c r="C27" s="44" t="inlineStr">
        <is>
          <t>Intel產品路線</t>
        </is>
      </c>
      <c r="D27" s="44" t="inlineStr">
        <is>
          <t>美系大行</t>
        </is>
      </c>
      <c r="E27" s="44" t="inlineStr">
        <is>
          <t>• PC：2Q營收季增3%，認為是win10 EOL+關稅提早拉貨所致。
• 展望3Q預估季減4%，低於季節性表現。
• Raptor Lake熱賣、Intel 7node產能緊張；Lunar Lake將於Q3放量。
• Panther Lake (Intel 18A)計劃年底出貨，是鞏固NB市佔率關鍵產品。
• Server：2Q季減5%，Granite Rapids目前按計劃進行量產，管理層看到有upside。
• Diamond Rapids將於2026年接替Granite Rapids，但尚未提及Clearwater Forest進度。</t>
        </is>
      </c>
      <c r="F27" s="44" t="inlineStr">
        <is>
          <t>Intel</t>
        </is>
      </c>
      <c r="G27" s="44" t="inlineStr">
        <is>
          <t>#Intel #Panther_Lake #Granite_Rapids</t>
        </is>
      </c>
    </row>
    <row r="28">
      <c r="A28" s="44" t="inlineStr">
        <is>
          <t>T027</t>
        </is>
      </c>
      <c r="B28" s="44" t="inlineStr">
        <is>
          <t>2025/07/25</t>
        </is>
      </c>
      <c r="C28" s="44" t="inlineStr">
        <is>
          <t>Google調升資本支出</t>
        </is>
      </c>
      <c r="D28" s="44" t="inlineStr">
        <is>
          <t>美系大行</t>
        </is>
      </c>
      <c r="E28" s="44" t="inlineStr">
        <is>
          <t>• 管理層表示增加資本支出（全年855億美元）是為因應AI及Cloud運算成長需求。
• 特別是每月token生成量將從2倍提升至980兆token。
• 資本支出主要投入在伺服器購置、資料中心建設進度加快與交貨速度等。
• 相關供應鏈：緯穎、金像電(PCB)、欣興（ABF for TPU)、南電（ABF for網通晶片）。
• 其他覆蓋裡亦正面解讀的有：緯創、廣達、技嘉。</t>
        </is>
      </c>
      <c r="F28" s="44" t="inlineStr">
        <is>
          <t>緯穎(6669)、金像電(2368)、欣興(3037)、南電(8046)、緯創(3231)、廣達(2382)、技嘉(2376)</t>
        </is>
      </c>
      <c r="G28" s="44" t="inlineStr">
        <is>
          <t>#Google #資本支出855億 #token生成</t>
        </is>
      </c>
    </row>
    <row r="29">
      <c r="A29" s="44" t="inlineStr">
        <is>
          <t>T028</t>
        </is>
      </c>
      <c r="B29" s="44" t="inlineStr">
        <is>
          <t>2025/07/17</t>
        </is>
      </c>
      <c r="C29" s="44" t="inlineStr">
        <is>
          <t>H20庫存追蹤</t>
        </is>
      </c>
      <c r="D29" s="44" t="inlineStr">
        <is>
          <t>美系大行</t>
        </is>
      </c>
      <c r="E29" s="44" t="inlineStr">
        <is>
          <t>• 調研：已完成晶片庫存約70萬顆。
• 若要將Hopper運算晶片與HBM晶片封裝在一起，預計需額外使用約1萬片來自台積電或Amkor的CoWoS-S晶圓。
• 晶片測試也另一個瓶頸，京元電可額外擠出200-300k，所以推估H20總庫存可達1m。
• 不過除此之外，並未看到新的H20投片。
• 另外，RTX Pro 6000(B30)、6000D(B40)，看到今下半年有2m的量。</t>
        </is>
      </c>
      <c r="F29" s="44" t="inlineStr">
        <is>
          <t>京元電(2449)</t>
        </is>
      </c>
      <c r="G29" s="44" t="inlineStr">
        <is>
          <t>#H20庫存 #RTX_Pro_6000</t>
        </is>
      </c>
    </row>
    <row r="30">
      <c r="A30" s="44" t="inlineStr">
        <is>
          <t>T029</t>
        </is>
      </c>
      <c r="B30" s="44" t="inlineStr">
        <is>
          <t>2025/07/16</t>
        </is>
      </c>
      <c r="C30" s="44" t="inlineStr">
        <is>
          <t>CCL/PCB產業TAM上調</t>
        </is>
      </c>
      <c r="D30" s="44" t="inlineStr">
        <is>
          <t>美系券商</t>
        </is>
      </c>
      <c r="E30" s="44" t="inlineStr">
        <is>
          <t>• 出具25頁產業大報告。
• 上調CCL/PCB的TAM，25年：美金23億/53億，到27年會是80億/174億，CAGR: 88%/80%。
• 明年下半年AI伺服器就會用上M9，持續提升ASP，優於預期。
• 預期M8/M9級CCL滲透率從今年40%→明年70%。
• 高階CCL緊缺、交期拉長至20-30+週。
• 預期台光電+台燿在27年合計能拿下85%市佔率，金像電明年市佔率有6-8成。</t>
        </is>
      </c>
      <c r="F30" s="44" t="inlineStr">
        <is>
          <t>台光電(2383)、台燿(6274)、金像電(2368)</t>
        </is>
      </c>
      <c r="G30" s="44" t="inlineStr">
        <is>
          <t>#CCL #PCB #TAM上調 #M9</t>
        </is>
      </c>
    </row>
    <row r="31">
      <c r="A31" s="44" t="inlineStr">
        <is>
          <t>T030</t>
        </is>
      </c>
      <c r="B31" s="44" t="inlineStr">
        <is>
          <t>2025/07/14</t>
        </is>
      </c>
      <c r="C31" s="44" t="inlineStr">
        <is>
          <t>水冷散熱IRHX</t>
        </is>
      </c>
      <c r="D31" s="44" t="inlineStr">
        <is>
          <t>美系大行</t>
        </is>
      </c>
      <c r="E31" s="44" t="inlineStr">
        <is>
          <t>• 上週新聞指出AWS推出In-Row Heat Exchanger (IRHX)。
• 對廣達、奇鋐、台達電是正面解讀。
• 可以把IRHX想成是大型side-car cooling CDU，裡頭有Water distribution cabinet、幫浦與風扇模組（pump &amp; fan unit）等。
• 可減少伺服器row內風扇需求，也節省機房空間佔用，並能支援4-8櫃。
• 不過還是要檢視漏水風險及效能等。
• 這是一個水對氣解決方案，推行在全水對水之前，目的是支援高密度AI機櫃如NVIDIA GB200 NVL72。</t>
        </is>
      </c>
      <c r="F31" s="44" t="inlineStr">
        <is>
          <t>廣達(2382)、奇鋐(3017)、台達電(2308)</t>
        </is>
      </c>
      <c r="G31" s="44" t="inlineStr">
        <is>
          <t>#IRHX #水冷 #AWS</t>
        </is>
      </c>
    </row>
    <row r="32">
      <c r="A32" s="44" t="inlineStr">
        <is>
          <t>T031</t>
        </is>
      </c>
      <c r="B32" s="44" t="inlineStr">
        <is>
          <t>2025/07/14</t>
        </is>
      </c>
      <c r="C32" s="44" t="inlineStr">
        <is>
          <t>化合物半導體競爭</t>
        </is>
      </c>
      <c r="D32" s="44" t="inlineStr">
        <is>
          <t>美系券商</t>
        </is>
      </c>
      <c r="E32" s="44" t="inlineStr">
        <is>
          <t>• 針對穩懋、宏捷科降評降目標。
• 認為行業內競爭加劇。</t>
        </is>
      </c>
      <c r="F32" s="44" t="inlineStr">
        <is>
          <t>穩懋(3105)、宏捷科(8086)</t>
        </is>
      </c>
      <c r="G32" s="44" t="inlineStr">
        <is>
          <t>#化合物半導體 #競爭加劇</t>
        </is>
      </c>
    </row>
    <row r="33">
      <c r="A33" s="44" t="inlineStr">
        <is>
          <t>T032</t>
        </is>
      </c>
      <c r="B33" s="44" t="inlineStr">
        <is>
          <t>2025/11/11</t>
        </is>
      </c>
      <c r="C33" s="44" t="inlineStr">
        <is>
          <t>DDR4無法快速轉DDR5的產業結構分析</t>
        </is>
      </c>
      <c r="D33" s="44" t="inlineStr">
        <is>
          <t>產業知識整理</t>
        </is>
      </c>
      <c r="E33" s="44" t="inlineStr">
        <is>
          <t>• Memory controller IP決定DRAM規格，系統廠無法自行決定。
• 五大無法轉換情境：
  1. 主晶片IP限制（無法轉）：如Server BMC主流Aspeed 2600只能用DDR4，需等2700才能轉DDR5。
  2. 產品生命週期考量（不願意轉）：如智邦DCS8500-128D使用Intel Ice Lake D（只支援DDR4），改用DDR5需重新設計主板、重新認證，系統廠寧願吸收漲價。
  3. 主晶片雙支援但已設計成DDR4（轉換成本高）：需重新設計主板、測試認證。
  4. 特殊應用/嵌入式（生命週期極長）：工業、醫療、國防、自動化設備，一代產品生產10-20年，DRAM佔BOM成本極低。創見工控產品佔營收60%+，今年DDR4仍佔60-70%，明年2026年DDR5僅增至30%。
  5. PC舊機擴充需求（After Market）：使用者延長舊電腦壽命，從after market買DIMM/SO-DIMM擴充，只能用DDR4。
• 容易轉換：PC新機（CPU優先支援DDR5）、手機（每年推新品）。
• 投資啟示：DDR4供給缺口將持續，受惠華邦電、南亞科。</t>
        </is>
      </c>
      <c r="F33" s="44" t="inlineStr">
        <is>
          <t>華邦電(2344)、南亞科(2408)、創見(2451)、智邦(2345)</t>
        </is>
      </c>
      <c r="G33" s="44" t="inlineStr">
        <is>
          <t>#DDR4供給缺口 #Memory_controller #工控長生命週期</t>
        </is>
      </c>
    </row>
    <row r="34">
      <c r="A34" s="44" t="inlineStr">
        <is>
          <t>T033</t>
        </is>
      </c>
      <c r="B34" s="44" t="inlineStr">
        <is>
          <t>2025/11/11</t>
        </is>
      </c>
      <c r="C34" s="44" t="inlineStr">
        <is>
          <t>NAND閃存漲價潮</t>
        </is>
      </c>
      <c r="D34" s="44" t="inlineStr">
        <is>
          <t>產業動態</t>
        </is>
      </c>
      <c r="E34" s="44" t="inlineStr">
        <is>
          <t>• SanDisk 11月大幅調漲NAND閃存合約價格，漲幅高達50%。
• 這是SanDisk今年至少第三次漲價：4月全系漲價10%、9月初針對全部渠道和消費類產品執行10%普漲，打響存儲漲價第一槍。
• 引發美光等存儲龍頭跟進漲價。
• 漲價消息引發整個存儲供應鏈震動，導致創見、宜鼎國際與宇瞻科技等模組廠決定暫停出貨并重新評估報價。
• 創見自11月7日起暫停報價交貨，理由為「預期市場行情將繼續向好」，言外之意即是「價格還可能進一步上漲」。
• 慧榮科技總經理茍嘉章：隨著人工智能應用大幅擴張，全球存儲器產業正迎來一場結構性、長周期的嚴重缺貨。</t>
        </is>
      </c>
      <c r="F34" s="44" t="inlineStr">
        <is>
          <t>創見(2451)、宜鼎(5289)、宇瞻(8271)、慧榮(未上市)</t>
        </is>
      </c>
      <c r="G34" s="44" t="inlineStr">
        <is>
          <t>#NAND漲價 #閃存 #供應鏈震動 #AI擴張</t>
        </is>
      </c>
    </row>
    <row r="35">
      <c r="A35" s="44" t="inlineStr">
        <is>
          <t>T034</t>
        </is>
      </c>
      <c r="B35" s="44" t="inlineStr">
        <is>
          <t>2025/07/11</t>
        </is>
      </c>
      <c r="C35" s="44" t="inlineStr">
        <is>
          <t>WoW堆疊技術啟動邊緣AI</t>
        </is>
      </c>
      <c r="D35" s="44" t="inlineStr">
        <is>
          <t>美系大行</t>
        </is>
      </c>
      <c r="E35" s="44" t="inlineStr">
        <is>
          <t>• 美系大行出具65頁產業大報告。
• Wafer-on-Wafer(WoW)堆疊技術將啟動下一世代邊緣AI。
• 可根據不同設計提升記憶體頻寬10-100倍、功耗降低80-90%。
• 封裝體積小，適合穿戴式與行動裝置，成本遠低於HBM。
• 愛普採用WoW進行Very High Bandwidth Memory（VHM）開發，與HBM2E相比，達到10倍頻寬、90%以上功耗下降。
• 未來隨著Edge AI普及（如智慧手機、AI眼鏡、AI PC），有機會轉向更多消費性電子應用。
• 華邦電CUBE技術已成熟，2層堆疊量產中，4層堆疊預計2-3季內進入商用。</t>
        </is>
      </c>
      <c r="F35" s="44" t="inlineStr">
        <is>
          <t>愛普(6531)、華邦電(2344)</t>
        </is>
      </c>
      <c r="G35" s="44" t="inlineStr">
        <is>
          <t>#WoW #VHM #Edge_AI #CUBE #65頁報告</t>
        </is>
      </c>
    </row>
    <row r="36">
      <c r="A36" s="44" t="inlineStr">
        <is>
          <t>T035</t>
        </is>
      </c>
      <c r="B36" s="44" t="inlineStr">
        <is>
          <t>2025/07/09</t>
        </is>
      </c>
      <c r="C36" s="44" t="inlineStr">
        <is>
          <t>AWS Trainium2良率問題收斂</t>
        </is>
      </c>
      <c r="D36" s="44" t="inlineStr">
        <is>
          <t>美系大行</t>
        </is>
      </c>
      <c r="E36" s="44" t="inlineStr">
        <is>
          <t>• 觀察T2/2.5上游晶片與系統端出貨不一致，系因生產初期PCB良率問題，導致裝機階段有3-4成的額外晶片消耗。
• 認為下半年良率提升，問題收斂。
• 預估總計T2/2.5在2H24-1H26會有1.9m顆，其中25年1.1m。
• 明年開始有3nm的Trainium3：預估650k。
• 預期世芯在今下半年會再多一筆該案的NRE。
• AWS Trainium台廠供應鏈有：世芯、緯穎、奇鋐、川湖、金像電等。</t>
        </is>
      </c>
      <c r="F36" s="44" t="inlineStr">
        <is>
          <t>世芯(3661)、緯穎(6669)、奇鋐(3017)、川湖(2059)、金像電(2368)</t>
        </is>
      </c>
      <c r="G36" s="44" t="inlineStr">
        <is>
          <t>#Trainium2 #PCB良率 #3nm_T3 #供應鏈</t>
        </is>
      </c>
    </row>
    <row r="37">
      <c r="A37" s="44" t="inlineStr">
        <is>
          <t>T036</t>
        </is>
      </c>
      <c r="B37" s="44" t="inlineStr">
        <is>
          <t>2025/07/09</t>
        </is>
      </c>
      <c r="C37" s="44" t="inlineStr">
        <is>
          <t>GB200 NVL72出貨追蹤</t>
        </is>
      </c>
      <c r="D37" s="44" t="inlineStr">
        <is>
          <t>美系大行</t>
        </is>
      </c>
      <c r="E37" s="44" t="inlineStr">
        <is>
          <t>• 預估GB200機櫃6月出貨量略為上升，從5月的2.25k提升至2.5k。
• 2Q總出貨達約6k。
• 廣達：6月500-600台，2Q合計為1.2-1.3k。
• 緯創：6月700-800台等效的L10 compute tray，2Q合計為1.8-1.9k trays。
• 鴻海：2Q合計為3k。</t>
        </is>
      </c>
      <c r="F37" s="44" t="inlineStr">
        <is>
          <t>廣達(2382)、緯創(3231)、鴻海(2317)</t>
        </is>
      </c>
      <c r="G37" s="44" t="inlineStr">
        <is>
          <t>#GB200 #NVL72 #2Q出貨6k</t>
        </is>
      </c>
    </row>
    <row r="38">
      <c r="A38" s="44" t="inlineStr">
        <is>
          <t>T037</t>
        </is>
      </c>
      <c r="B38" s="44" t="inlineStr">
        <is>
          <t>2025/07/02</t>
        </is>
      </c>
      <c r="C38" s="44" t="inlineStr">
        <is>
          <t>台積電CoWoS產能與客戶追蹤</t>
        </is>
      </c>
      <c r="D38" s="44" t="inlineStr">
        <is>
          <t>美系大行</t>
        </is>
      </c>
      <c r="E38" s="44" t="inlineStr">
        <is>
          <t>• 確認明年台積電CoWoS產能落在90-95k，符合之前預估，年增率逾3成。
• 其中，CoWoS-L可望擴產至68k（先前預估為55k），顯示Blackwell或Rubin需求強勁。
• Blackwell晶片的測試時間將從目前的600-700秒回升到800-900秒，因為有新測試機開始投入。
• 明年CoWoS客戶訂單：
  - Nvidia：維持2026年總需求量為580k顆不變，將CoWoS-L上修至550k from 540k，CoWoS-S預估訂單下修為0，因H20晶片尚未獲美國出口許可。
  - Broadcom：上修CoWoS使用量至110k顆，因Meta的MTIAv3晶片需求提升所致。
  - AWS+世芯：上修CoWoS使用量到40k from 30k，因Trainium3放量。</t>
        </is>
      </c>
      <c r="F38" s="44" t="inlineStr">
        <is>
          <t>台積電(2330)、世芯(3661)、Nvidia、Broadcom、AWS</t>
        </is>
      </c>
      <c r="G38" s="44" t="inlineStr">
        <is>
          <t>#CoWoS_90-95k #CoWoS-L_68k #客戶追蹤</t>
        </is>
      </c>
    </row>
    <row r="39">
      <c r="A39" s="44" t="inlineStr">
        <is>
          <t>T038</t>
        </is>
      </c>
      <c r="B39" s="44" t="inlineStr">
        <is>
          <t>2025/07/02</t>
        </is>
      </c>
      <c r="C39" s="44" t="inlineStr">
        <is>
          <t>ASIC供應鏈動態</t>
        </is>
      </c>
      <c r="D39" s="44" t="inlineStr">
        <is>
          <t>美系大行</t>
        </is>
      </c>
      <c r="E39" s="44" t="inlineStr">
        <is>
          <t>• 觀察世芯是Trainium3 XPU的獨供，營收將於明年開始貢獻。
• Marvell則將專注於XPU-attach晶片。
• T4會在本月底決定，預期還是世芯的獲勝機率高。</t>
        </is>
      </c>
      <c r="F39" s="44" t="inlineStr">
        <is>
          <t>世芯(3661)、Marvell、AWS</t>
        </is>
      </c>
      <c r="G39" s="44" t="inlineStr">
        <is>
          <t>#Trainium3 #世芯獨供 #T4</t>
        </is>
      </c>
    </row>
    <row r="40">
      <c r="A40" s="44" t="inlineStr">
        <is>
          <t>T039</t>
        </is>
      </c>
      <c r="B40" s="44" t="inlineStr">
        <is>
          <t>2025/06/30</t>
        </is>
      </c>
      <c r="C40" s="44" t="inlineStr">
        <is>
          <t>AI伺服器市場結構與出貨預估</t>
        </is>
      </c>
      <c r="D40" s="44" t="inlineStr">
        <is>
          <t>美系券商</t>
        </is>
      </c>
      <c r="E40" s="44" t="inlineStr">
        <is>
          <t>• 美系券商新增ASIC server預估。
• AI晶片市佔率（GPU:ASIC）：
  - 去年：64:36
  - 今年：62:38
  - 明年：60:40
• 伺服器出貨量（GPU:ASIC）：
  - 去年：603k:336k
  - 今年：703k:422k
  - 明年：883k:591k
• 認為ASIC server具備高客製化與較低預算壓力，可搭配未來逐漸轉向AI推論時代的應用需求。
• 承接此高客製化彈性觀點，上修採用baseboard架構的AI伺服器（如H200、B200）的單位預估，2025/26年上修幅度為ASIC/GPU架構分別為25%/14%。
• 但下修全機櫃（full rack）AI伺服器的預估至19,000/50,000台（前次預估為19,000/57,000台）。
• 預估2025/26年：
  - 一般伺服器出貨量年增+9%/+6%
  - AI訓練伺服器出貨量年增+33%/+42%
  - 推論伺服器出貨量年增+10%/+16%（value年增37%/19%）
• 重申覆蓋名單裡的正面評價：鴻海/FII、緯創/緯穎、奇鋐/富世達、聯亞、全新、雙鴻、勤誠、台光電、金像電、台積電、聯發科、旺矽、穎崴、信驊等。</t>
        </is>
      </c>
      <c r="F40" s="44" t="inlineStr">
        <is>
          <t>鴻海(2317)、緯創(3231)、緯穎(6669)、奇鋐(3017)、富世達(6805)、聯亞(3081)、全新(2455)、雙鴻(3324)、勤誠(8210)、台光電(2383)、金像電(2368)、台積電(2330)、聯發科(2454)、旺矽(6223)、穎崴(6515)、信驊(5274)</t>
        </is>
      </c>
      <c r="G40" s="44" t="inlineStr">
        <is>
          <t>#ASIC市佔40% #baseboard架構 #推論時代</t>
        </is>
      </c>
    </row>
    <row r="41">
      <c r="A41" s="44" t="inlineStr">
        <is>
          <t>T040</t>
        </is>
      </c>
      <c r="B41" s="44" t="inlineStr">
        <is>
          <t>2025/06/24</t>
        </is>
      </c>
      <c r="C41" s="44" t="inlineStr">
        <is>
          <t>中國矽晶圓/SiC/GaN市場分析</t>
        </is>
      </c>
      <c r="D41" s="44" t="inlineStr">
        <is>
          <t>美系券商</t>
        </is>
      </c>
      <c r="E41" s="44" t="inlineStr">
        <is>
          <t>• Silicon wafer：中國在地12吋矽晶圓供應商，去年可覆蓋中國41%的需求，到後年可達54%。8吋去年覆蓋64%，後年達覆蓋78%。ASP：24-26年的降幅CAGR: 12吋:6%、8吋10%。產能：25-27年的擴產CAGR: 12吋:21%、8吋:3%。
• SiC substrate：在地供應商去年覆蓋75%需求，後年達84%。ASP：去年443美元，明年降到384美元，有助於縮小碳化矽MOSFET與矽基IGBT之間的價格差距。產能：24-27年CAGR: 6吋:26%、8吋:9%。
• IGBT：中國的供需比預估在2025年為128%，2026年為131%。不過，認為隨著SiC substrate成本下降，輔以效率提升，提高了SiC較於IGBT的競爭力，進而推動SiC的滲透率上升。
• GaN：預期中國的GaN元件市場將從2024年的2.09億美元，成長至2030年的16億美元。</t>
        </is>
      </c>
      <c r="F41" s="44" t="inlineStr">
        <is>
          <t>中國矽晶圓廠商、SiC廠商</t>
        </is>
      </c>
      <c r="G41" s="44" t="inlineStr">
        <is>
          <t>#中國在地化 #SiC成本降 #GaN成長</t>
        </is>
      </c>
    </row>
    <row r="42">
      <c r="A42" s="44" t="inlineStr">
        <is>
          <t>T041</t>
        </is>
      </c>
      <c r="B42" s="44" t="inlineStr">
        <is>
          <t>2025/06/19</t>
        </is>
      </c>
      <c r="C42" s="44" t="inlineStr">
        <is>
          <t>中國手機市場規格提升</t>
        </is>
      </c>
      <c r="D42" s="44" t="inlineStr">
        <is>
          <t>美系券商</t>
        </is>
      </c>
      <c r="E42" s="44" t="inlineStr">
        <is>
          <t>• 觀察5月新機規格提升且價格穩定，以中高階產品為主，售價介於419~1,398美元，提升4%。
• 升級三大重點：AI功能、SoC晶片升級、相機模組提升。
• 5-6月發表的也是中高階，價格帶：$420-$1000+。
• 包括：Honor Magic V5（摺疊機）、Vivo X Fold 5（摺疊機）、Redmi K80 Ultra、Xiaomi Civi 5 Pro、Vivo S30/S30 Pro Mini、Huawei Pura 80系列等。</t>
        </is>
      </c>
      <c r="F42" s="44" t="inlineStr">
        <is>
          <t>聯發科(2454)、瑞昱(2379)、大立光(3008)</t>
        </is>
      </c>
      <c r="G42" s="44" t="inlineStr">
        <is>
          <t>#中國手機 #中高階 #AI功能</t>
        </is>
      </c>
    </row>
    <row r="43">
      <c r="A43" s="44" t="inlineStr">
        <is>
          <t>T042</t>
        </is>
      </c>
      <c r="B43" s="44" t="inlineStr">
        <is>
          <t>2025/06/17</t>
        </is>
      </c>
      <c r="C43" s="44" t="inlineStr">
        <is>
          <t>ASIC供應鏈進度追蹤</t>
        </is>
      </c>
      <c r="D43" s="44" t="inlineStr">
        <is>
          <t>美系大行</t>
        </is>
      </c>
      <c r="E43" s="44" t="inlineStr">
        <is>
          <t>• AWS：觀察世芯T3部分2月taped out，5月已wafer out。今夏會公布T4，認為世芯仍保有高機率贏得。尤其剛與Arista Lab合作I/O chiplets。
• Google TPU：Ironwood（v7p）於2025年上半年進入量產後，博通也taped out 3nm v7e，聯發科將於8月tape out 3nm v8p，明年下半年量產。
• Meta：MTIAv3（搭載HBM的ASIC版本）預期7月會看到初步的出貨量預測。在台灣供應鏈方面，觀察到針對MTIAv4已有規劃採用更大型封裝，以容納multiple computing dies設計。</t>
        </is>
      </c>
      <c r="F43" s="44" t="inlineStr">
        <is>
          <t>世芯(3661)、博通、聯發科(2454)、Meta</t>
        </is>
      </c>
      <c r="G43" s="44" t="inlineStr">
        <is>
          <t>#AWS_T4 #Google_v8p #Meta_MTIAv4</t>
        </is>
      </c>
    </row>
    <row r="44">
      <c r="A44" s="44" t="inlineStr">
        <is>
          <t>T043</t>
        </is>
      </c>
      <c r="B44" s="44" t="inlineStr">
        <is>
          <t>2025/06/17</t>
        </is>
      </c>
      <c r="C44" s="44" t="inlineStr">
        <is>
          <t>CCL產業M9與材料升級</t>
        </is>
      </c>
      <c r="D44" s="44" t="inlineStr">
        <is>
          <t>美系券商</t>
        </is>
      </c>
      <c r="E44" s="44" t="inlineStr">
        <is>
          <t>• 觀察高階CCL目前處於供不應求狀態，台光電、台燿都有舉辦生產M9能力，日廠Panasonic也有，但也是供應有限。
• 材料升級面上，觀察相比於轉向PTFE基樹脂，轉用石英基玻纖布與HVLP5銅箔的可能性更高。
• 在上游材料可能發生變化的情況下，CCL業者是否具備整合不同供應商材料的能力將成為關鍵。
• 另個重要觀察是台光電與台燿正嘗試從日本主要供應商（如旭化成、日東紡）分散至本地供應商如：台玻、富喬，觀察這兩家近期擴廠相當積極。</t>
        </is>
      </c>
      <c r="F44" s="44" t="inlineStr">
        <is>
          <t>台光電(2383)、台燿(6274)、台玻(1802)、富喬(1815)</t>
        </is>
      </c>
      <c r="G44" s="44" t="inlineStr">
        <is>
          <t>#M9供不應求 #石英玻纖布 #本地供應商</t>
        </is>
      </c>
    </row>
    <row r="45">
      <c r="A45" s="44" t="inlineStr">
        <is>
          <t>T044</t>
        </is>
      </c>
      <c r="B45" s="44" t="inlineStr">
        <is>
          <t>2025/06/16</t>
        </is>
      </c>
      <c r="C45" s="44" t="inlineStr">
        <is>
          <t>iPhone/iPad中國618表現</t>
        </is>
      </c>
      <c r="D45" s="44" t="inlineStr">
        <is>
          <t>美系大行</t>
        </is>
      </c>
      <c r="E45" s="44" t="inlineStr">
        <is>
          <t>• 觀察中國618檔期對蘋果產品反應正向。
• 上修2Q iPhone至46.5m（年增19%），上修iPad至14.5m（年增38%）。
• 展望3Q，預估iPhone季增8%、年減7%：50m，iPad: 14m。</t>
        </is>
      </c>
      <c r="F45" s="44" t="inlineStr">
        <is>
          <t>大立光(3008)、鴻海(2317)、可成(2474)</t>
        </is>
      </c>
      <c r="G45" s="44" t="inlineStr">
        <is>
          <t>#618正向 #iPhone年增19% #iPad年增38%</t>
        </is>
      </c>
    </row>
    <row r="46">
      <c r="A46" s="44" t="inlineStr">
        <is>
          <t>T045</t>
        </is>
      </c>
      <c r="B46" s="44" t="inlineStr">
        <is>
          <t>2025/06/12</t>
        </is>
      </c>
      <c r="C46" s="44" t="inlineStr">
        <is>
          <t>5月營收亮點與3Q展望</t>
        </is>
      </c>
      <c r="D46" s="44" t="inlineStr">
        <is>
          <t>美系券商</t>
        </is>
      </c>
      <c r="E46" s="44" t="inlineStr">
        <is>
          <t>• 認為五月營收裡表現突出的是關於ASIC/baseboard based server即其零組件如：水冷、滑軌、矽光等。
• 展望3Q，維持對上述正面看法不變，不過仍對rack-level持保守態度。
• Non-AI部分：iPhone下半年進入旺季，明後年還有摺疊機，其他還有AI PC、低軌道衛星、電子紙等也是正面看待。
• 維持正面評價的有：鴻海、緯創、緯穎、技嘉、華碩、奇鋐、雙鴻、富世達、全新、聯亞光、勤誠、川湖、大立光、新日興、昇達科、啟碁、元太等。</t>
        </is>
      </c>
      <c r="F46" s="44" t="inlineStr">
        <is>
          <t>鴻海(2317)、緯創(3231)、緯穎(6669)、技嘉(2376)、華碩(2357)、奇鋐(3017)、雙鴻(3324)、富世達(6805)、全新(2455)、聯亞(3081)、勤誠(8210)、川湖(2059)、大立光(3008)、新日興(3376)、昇達科(3491)、啟碁(6285)、元太(8069)</t>
        </is>
      </c>
      <c r="G46" s="44" t="inlineStr">
        <is>
          <t>#ASIC表現突出 #水冷滑軌 #矽光</t>
        </is>
      </c>
    </row>
    <row r="47">
      <c r="A47" s="44" t="inlineStr">
        <is>
          <t>T046</t>
        </is>
      </c>
      <c r="B47" s="44" t="inlineStr">
        <is>
          <t>2025/06/10</t>
        </is>
      </c>
      <c r="C47" s="44" t="inlineStr">
        <is>
          <t>NVL72機櫃出貨追蹤</t>
        </is>
      </c>
      <c r="D47" s="44" t="inlineStr">
        <is>
          <t>美系大行</t>
        </is>
      </c>
      <c r="E47" s="44" t="inlineStr">
        <is>
          <t>• 觀察NVL72 rack出貨量有感增加，訪查5月應有2-2.5k（四月1-1.15k），估計6月出貨量續增。
• 其中鴻海1k、緯創compute tray相當於900-1k rack、廣達400。</t>
        </is>
      </c>
      <c r="F47" s="44" t="inlineStr">
        <is>
          <t>鴻海(2317)、緯創(3231)、廣達(2382)</t>
        </is>
      </c>
      <c r="G47" s="44" t="inlineStr">
        <is>
          <t>#NVL72 #5月2-2.5k #6月續增</t>
        </is>
      </c>
    </row>
    <row r="48">
      <c r="A48" s="44" t="inlineStr">
        <is>
          <t>T047</t>
        </is>
      </c>
      <c r="B48" s="44" t="inlineStr">
        <is>
          <t>2025/05/26</t>
        </is>
      </c>
      <c r="C48" s="44" t="inlineStr">
        <is>
          <t>Computex 2025觀察（一）</t>
        </is>
      </c>
      <c r="D48" s="44" t="inlineStr">
        <is>
          <t>美系大行</t>
        </is>
      </c>
      <c r="E48" s="44" t="inlineStr">
        <is>
          <t>• 認為今年是溫和升級，每家系統廠都有展GB300 NVL72機架與B300 HGX（包含10U氣冷與4U液冷版本）。
• 不過，大家展示Cordelia的GB300運算模組，而非最新設計中的Bianca，看起來像是重複使用了三月GTC展示。認為此舉在想突顯與GB200差異，以及傳達Nvidia最終理念。
• 從Cordelia轉回Bianca有助於加速GB300機架的上市時程，也讓量產比GB200更順利。
• 整體來說，認為從Computex帶回對於今年的出貨更樂觀的想法。
• 最後，備受矚目的是800V高壓直流(HVDC) Sidecar電源櫃。台達電及散熱大廠Vertiv已率先展示對應方案，預期明年就可導入。</t>
        </is>
      </c>
      <c r="F48" s="44" t="inlineStr">
        <is>
          <t>台達電(2308)、Nvidia、鴻海(2317)、緯創(3231)、廣達(2382)</t>
        </is>
      </c>
      <c r="G48" s="44" t="inlineStr">
        <is>
          <t>#Computex #GB300 #800V_HVDC</t>
        </is>
      </c>
    </row>
    <row r="49">
      <c r="A49" s="44" t="inlineStr">
        <is>
          <t>T048</t>
        </is>
      </c>
      <c r="B49" s="44" t="inlineStr">
        <is>
          <t>2025/05/26</t>
        </is>
      </c>
      <c r="C49" s="44" t="inlineStr">
        <is>
          <t>Computex 2025觀察（二）</t>
        </is>
      </c>
      <c r="D49" s="44" t="inlineStr">
        <is>
          <t>美系券商</t>
        </is>
      </c>
      <c r="E49" s="44" t="inlineStr">
        <is>
          <t>• 認為GB200晶片出貨已回到正軌，消弭大家之前對於上游遞延或堆積庫存的擔憂。
• 預期CoWoS今年產能70k，明年100k。
• 散熱部分，見證到GB300 switch tray上全液冷無風扇的設計，HGX B300也有新液冷設計。
• 最後，看到Nvidia的Kyber架構，每個機櫃將搭載4層主板，支援18個運算模組與6個交換模組。
• Kyber的垂直刀鋒式伺服器設計也將被應用於Rubin Ultra NVL576。</t>
        </is>
      </c>
      <c r="F49" s="44" t="inlineStr">
        <is>
          <t>台積電(2330)、Nvidia、奇鋐(3017)、雙鴻(3324)</t>
        </is>
      </c>
      <c r="G49" s="44" t="inlineStr">
        <is>
          <t>#CoWoS_70k #Kyber #全液冷</t>
        </is>
      </c>
    </row>
    <row r="50">
      <c r="A50" s="44" t="inlineStr">
        <is>
          <t>T049</t>
        </is>
      </c>
      <c r="B50" s="44" t="inlineStr">
        <is>
          <t>2025/06/03</t>
        </is>
      </c>
      <c r="C50" s="44" t="inlineStr">
        <is>
          <t>日本CCL原料漲價</t>
        </is>
      </c>
      <c r="D50" s="44" t="inlineStr">
        <is>
          <t>券商觀察</t>
        </is>
      </c>
      <c r="E50" s="44" t="inlineStr">
        <is>
          <t>• 日本Nittobo宣布8月起低階玻纖產品漲價20%。
• 認為這是反應AI伺服器專用玻纖（NE/NER/T glass）需求太強，導致內部產能挪移現象。
• 儘管玻纖佔CCL成本2成，但此漲價不影響高階。
• 持續正面看待覆蓋裡的台光電、台燿。</t>
        </is>
      </c>
      <c r="F50" s="44" t="inlineStr">
        <is>
          <t>台光電(2383)、台燿(6274)、Nittobo</t>
        </is>
      </c>
      <c r="G50" s="44" t="inlineStr">
        <is>
          <t>#玻纖漲價20% #產能挪移</t>
        </is>
      </c>
    </row>
    <row r="51">
      <c r="A51" s="44" t="inlineStr">
        <is>
          <t>T050</t>
        </is>
      </c>
      <c r="B51" s="44" t="inlineStr">
        <is>
          <t>2025/06/03</t>
        </is>
      </c>
      <c r="C51" s="44" t="inlineStr">
        <is>
          <t>AI供應鏈追蹤</t>
        </is>
      </c>
      <c r="D51" s="44" t="inlineStr">
        <is>
          <t>美系全球科技團隊</t>
        </is>
      </c>
      <c r="E51" s="44" t="inlineStr">
        <is>
          <t>• 重申Nvidia、台積電、技嘉為目前的Top Pick。
• 現在出貨以HGX rack為主，於電腦展後上修NVL72今年出貨量為25-30k。
• 不過認為目標是「一週1k」，也就是接下來一季超過10k+的量，可觀察台灣供應鏈接下來月營收變化。
• 維持CoWoS-L今年的量390k不變。
• 最後，認為出中國的B30等同於RTX PRO 6000，預估量0.5m，但看到需求還在增加中。</t>
        </is>
      </c>
      <c r="F51" s="44" t="inlineStr">
        <is>
          <t>Nvidia、台積電(2330)、技嘉(2376)</t>
        </is>
      </c>
      <c r="G51" s="44" t="inlineStr">
        <is>
          <t>#NVL72_25-30k #一週1k #CoWoS-L_390k</t>
        </is>
      </c>
    </row>
    <row r="52">
      <c r="A52" s="44" t="inlineStr">
        <is>
          <t>T051</t>
        </is>
      </c>
      <c r="B52" s="44" t="inlineStr">
        <is>
          <t>2025/06/04</t>
        </is>
      </c>
      <c r="C52" s="44" t="inlineStr">
        <is>
          <t>科技股觀點路演</t>
        </is>
      </c>
      <c r="D52" s="44" t="inlineStr">
        <is>
          <t>美系券商</t>
        </is>
      </c>
      <c r="E52" s="44" t="inlineStr">
        <is>
          <t>• 上週針對80幾位外國機構法人進行路演。
• 認為他們對於AI看法有比起3月更樂觀。
• 回顧3月還在擔心下修及砍單，但現今改認為隨著上下游供應鏈良率提升，已可迎合AI需求。
• 重申對於明年CoWoS產能增加58%、出貨增加52%的預估。
• 對覆蓋裡的台積電、聯發科、旺矽、穎崴維持正向看法不變。</t>
        </is>
      </c>
      <c r="F52" s="44" t="inlineStr">
        <is>
          <t>台積電(2330)、聯發科(2454)、旺矽(6223)、穎崴(6515)</t>
        </is>
      </c>
      <c r="G52" s="44" t="inlineStr">
        <is>
          <t>#外資路演 #良率提升 #明年CoWoS增58%</t>
        </is>
      </c>
    </row>
    <row r="53">
      <c r="A53" s="44" t="inlineStr">
        <is>
          <t>T052</t>
        </is>
      </c>
      <c r="B53" s="44" t="inlineStr">
        <is>
          <t>2025/06/05</t>
        </is>
      </c>
      <c r="C53" s="44" t="inlineStr">
        <is>
          <t>EDA限制與聯發科</t>
        </is>
      </c>
      <c r="D53" s="44" t="inlineStr">
        <is>
          <t>美系大行</t>
        </is>
      </c>
      <c r="E53" s="44" t="inlineStr">
        <is>
          <t>• 認為美方對EDA的限制會加速在地化國產EDA tool需求。
• 不過也認為小米推出自研的Chipset對聯發科影響有限，baseband也還需要聯發科的外部5G Modem。
• 維持對聯發科正面評價不變。</t>
        </is>
      </c>
      <c r="F53" s="44" t="inlineStr">
        <is>
          <t>聯發科(2454)、小米</t>
        </is>
      </c>
      <c r="G53" s="44" t="inlineStr">
        <is>
          <t>#EDA限制 #小米自研 #影響有限</t>
        </is>
      </c>
    </row>
    <row r="54">
      <c r="A54" s="44" t="inlineStr">
        <is>
          <t>T053</t>
        </is>
      </c>
      <c r="B54" s="44" t="inlineStr">
        <is>
          <t>2025/05/16</t>
        </is>
      </c>
      <c r="C54" s="44" t="inlineStr">
        <is>
          <t>AI供應鏈追蹤：CoWoS需求</t>
        </is>
      </c>
      <c r="D54" s="44" t="inlineStr">
        <is>
          <t>美系大行</t>
        </is>
      </c>
      <c r="E54" s="44" t="inlineStr">
        <is>
          <t>• 重申Blackwell所需CoWoS-L的需求不變，維持今年390k、明年540k的預估。
• 預估NVIDIA在今年上半年將消耗約160k，3Q再要大於100k的量。
• 認為需求不是問題，若組裝良率提升，將一步帶動晶片庫存消耗。</t>
        </is>
      </c>
      <c r="F54" s="44" t="inlineStr">
        <is>
          <t>台積電(2330)、Nvidia</t>
        </is>
      </c>
      <c r="G54" s="44" t="inlineStr">
        <is>
          <t>#CoWoS_390k #需求不變 #良率提升</t>
        </is>
      </c>
    </row>
    <row r="55">
      <c r="A55" s="44" t="inlineStr">
        <is>
          <t>T054</t>
        </is>
      </c>
      <c r="B55" s="44" t="inlineStr">
        <is>
          <t>2025/05/19</t>
        </is>
      </c>
      <c r="C55" s="44" t="inlineStr">
        <is>
          <t>NB出貨量觀察</t>
        </is>
      </c>
      <c r="D55" s="44" t="inlineStr">
        <is>
          <t>美系券商</t>
        </is>
      </c>
      <c r="E55" s="44" t="inlineStr">
        <is>
          <t>• 觀察因應關稅的提早拉貨現象延續到5-6月份。
• 不過，認為5大ODM 4月出貨量9.5m，略低於預期，QTD達成率30%。
• 略下修2Q出貨量至季增6% from 7%。
• 以品牌而言，喜歡華碩，因為產品組合分散可避掉匯率風險，同時毛利率也在進步中。
• 其他還有廣達、緯創、英業達、台達電、嘉澤等。</t>
        </is>
      </c>
      <c r="F55" s="44" t="inlineStr">
        <is>
          <t>華碩(2357)、廣達(2382)、緯創(3231)、英業達(2356)、台達電(2308)、嘉澤(3533)</t>
        </is>
      </c>
      <c r="G55" s="44" t="inlineStr">
        <is>
          <t>#關稅拉貨 #4月9.5m #下修2Q</t>
        </is>
      </c>
    </row>
    <row r="56">
      <c r="A56" s="44" t="inlineStr">
        <is>
          <t>T055</t>
        </is>
      </c>
      <c r="B56" s="44" t="inlineStr">
        <is>
          <t>2025/05/23</t>
        </is>
      </c>
      <c r="C56" s="44" t="inlineStr">
        <is>
          <t>科技股匯率影響</t>
        </is>
      </c>
      <c r="D56" s="44" t="inlineStr">
        <is>
          <t>美系券商</t>
        </is>
      </c>
      <c r="E56" s="44" t="inlineStr">
        <is>
          <t>• 考量匯率狀況後，修正覆蓋裡台積電、聯電、京元電、日月光的獲利預估及目標。
• 同時也降評聯電，認為還會受到中國同業競爭，影響價格展望。</t>
        </is>
      </c>
      <c r="F56" s="44" t="inlineStr">
        <is>
          <t>台積電(2330)、聯電(2303)、京元電(2449)、日月光(2311)</t>
        </is>
      </c>
      <c r="G56" s="44" t="inlineStr">
        <is>
          <t>#匯率影響 #聯電降評 #中國競爭</t>
        </is>
      </c>
    </row>
    <row r="57">
      <c r="A57" s="44" t="inlineStr">
        <is>
          <t>T056</t>
        </is>
      </c>
      <c r="B57" s="44" t="inlineStr">
        <is>
          <t>2025/05/02</t>
        </is>
      </c>
      <c r="C57" s="44" t="inlineStr">
        <is>
          <t>Meta、微軟AI CAPEX解讀</t>
        </is>
      </c>
      <c r="D57" s="44" t="inlineStr">
        <is>
          <t>美系大行</t>
        </is>
      </c>
      <c r="E57" s="44" t="inlineStr">
        <is>
          <t>• 1Q result關於AI發展對市場及供應鏈都注入一股強心針。
• 尤其上修資本支出的Meta，主要台廠合作夥伴廣達是100%美國製造，緯穎也受益美加墨協定。
• 緯穎是下游的Top Pick。
• 其他正面觀察的還有：緯創、鴻海、廣達、貿聯、奇鋐、川湖、台達電、智邦、致茂、金像電等。</t>
        </is>
      </c>
      <c r="F57" s="44" t="inlineStr">
        <is>
          <t>廣達(2382)、緯穎(6669)、緯創(3231)、鴻海(2317)、貿聯(3665)、奇鋐(3017)、川湖(2059)、台達電(2308)、智邦(2345)、致茂(2360)、金像電(2368)</t>
        </is>
      </c>
      <c r="G57" s="44" t="inlineStr">
        <is>
          <t>#Meta上修CAPEX #緯穎Top_Pick</t>
        </is>
      </c>
    </row>
    <row r="58">
      <c r="A58" s="44" t="inlineStr">
        <is>
          <t>T057</t>
        </is>
      </c>
      <c r="B58" s="44" t="inlineStr">
        <is>
          <t>2025/05/06</t>
        </is>
      </c>
      <c r="C58" s="44" t="inlineStr">
        <is>
          <t>AI供應鏈追蹤：CoWoS與ASIC</t>
        </is>
      </c>
      <c r="D58" s="44" t="inlineStr">
        <is>
          <t>美系大行</t>
        </is>
      </c>
      <c r="E58" s="44" t="inlineStr">
        <is>
          <t>• 從北美CSP的法說會展望來看，認為需求ok。
• 供給面上，認為2025年至少可生產500萬顆Blackwell晶片。
• NVL72伺服器機櫃的總產量需要達到3萬台（或消耗216萬顆Blackwell晶片），才能滿足約1,000億美元的AI資本支出需求。
• 否則，台積電可能需要放緩其2026年CoWoS擴產，以消化晶片庫存。
• 另一面，Nvidia有準備中國特供版的B30用GDDR不是HBM，類似之前的L40S，但也是還不確定能不能出。
• 再來，與聯發科合作的N1X有軟體整合還要修改，認為會delay到明年初的CES展。
• 最後，關於ASIC，在台積電的3nm上仍然忙碌，預期AWS 3nm案子on track。</t>
        </is>
      </c>
      <c r="F58" s="44" t="inlineStr">
        <is>
          <t>台積電(2330)、Nvidia、聯發科(2454)</t>
        </is>
      </c>
      <c r="G58" s="44" t="inlineStr">
        <is>
          <t>#Blackwell_500萬顆 #NVL72_3萬台 #N1X遞延</t>
        </is>
      </c>
    </row>
    <row r="59">
      <c r="A59" s="44" t="inlineStr">
        <is>
          <t>T058</t>
        </is>
      </c>
      <c r="B59" s="44" t="inlineStr">
        <is>
          <t>2025/05/08</t>
        </is>
      </c>
      <c r="C59" s="44" t="inlineStr">
        <is>
          <t>散熱產業：4月營收靚</t>
        </is>
      </c>
      <c r="D59" s="44" t="inlineStr">
        <is>
          <t>美系大行</t>
        </is>
      </c>
      <c r="E59" s="44" t="inlineStr">
        <is>
          <t>• 覆蓋的奇鋐、雙鴻、建準的四月營收都創歷史新高。
• 認為水冷產品表現亮眼，尤其在AI伺服器新品拉貨動能下。
• 預期三家的2Q營收季增幅都在10%以上。
• 近期三家都有法說會行程，持續觀察匯率帶來的影響。</t>
        </is>
      </c>
      <c r="F59" s="44" t="inlineStr">
        <is>
          <t>奇鋐(3017)、雙鴻(3324)、建準(2421)</t>
        </is>
      </c>
      <c r="G59" s="44" t="inlineStr">
        <is>
          <t>#4月新高 #水冷亮眼 #2Q季增10%+</t>
        </is>
      </c>
    </row>
    <row r="60">
      <c r="A60" s="44" t="inlineStr">
        <is>
          <t>T059</t>
        </is>
      </c>
      <c r="B60" s="44" t="inlineStr">
        <is>
          <t>2025/05/09</t>
        </is>
      </c>
      <c r="C60" s="44" t="inlineStr">
        <is>
          <t>GB200 NVL72出貨追蹤</t>
        </is>
      </c>
      <c r="D60" s="44" t="inlineStr">
        <is>
          <t>美系大行</t>
        </is>
      </c>
      <c r="E60" s="44" t="inlineStr">
        <is>
          <t>• 觀察GB200 NVL72 4月份開始出貨增加。
• 全月出了1.5k vs 第一季整季的1k。
• 其中廣達300-400，緯創100-150，鴻海1k。</t>
        </is>
      </c>
      <c r="F60" s="44" t="inlineStr">
        <is>
          <t>廣達(2382)、緯創(3231)、鴻海(2317)</t>
        </is>
      </c>
      <c r="G60" s="44" t="inlineStr">
        <is>
          <t>#4月1.5k #1Q僅1k #鴻海1k</t>
        </is>
      </c>
    </row>
  </sheetData>
  <autoFilter ref="A1:G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s>
  <sheetData>
    <row r="1">
      <c r="A1" s="15" t="inlineStr">
        <is>
          <t>公司名稱</t>
        </is>
      </c>
      <c r="B1" s="15" t="inlineStr">
        <is>
          <t>股號</t>
        </is>
      </c>
    </row>
    <row r="2">
      <c r="A2" s="16" t="inlineStr">
        <is>
          <t>AI供應鏈</t>
        </is>
      </c>
      <c r="B2" s="16" t="inlineStr">
        <is>
          <t>-</t>
        </is>
      </c>
    </row>
    <row r="3">
      <c r="A3" s="16" t="inlineStr">
        <is>
          <t>Celestica/智邦</t>
        </is>
      </c>
      <c r="B3" s="16" t="inlineStr">
        <is>
          <t>2345</t>
        </is>
      </c>
    </row>
    <row r="4">
      <c r="A4" s="16" t="inlineStr">
        <is>
          <t>SK海力士</t>
        </is>
      </c>
      <c r="B4" s="16" t="inlineStr"/>
    </row>
    <row r="5">
      <c r="A5" s="16" t="inlineStr">
        <is>
          <t>三星電子</t>
        </is>
      </c>
      <c r="B5" s="16" t="inlineStr"/>
    </row>
    <row r="6">
      <c r="A6" s="16" t="inlineStr">
        <is>
          <t>世界</t>
        </is>
      </c>
      <c r="B6" s="16" t="inlineStr">
        <is>
          <t>5347</t>
        </is>
      </c>
    </row>
    <row r="7">
      <c r="A7" s="16" t="inlineStr">
        <is>
          <t>京元電</t>
        </is>
      </c>
      <c r="B7" s="16" t="inlineStr">
        <is>
          <t>2449</t>
        </is>
      </c>
    </row>
    <row r="8">
      <c r="A8" s="16" t="inlineStr">
        <is>
          <t>光寶科</t>
        </is>
      </c>
      <c r="B8" s="16" t="inlineStr">
        <is>
          <t>2301</t>
        </is>
      </c>
    </row>
    <row r="9">
      <c r="A9" s="16" t="inlineStr">
        <is>
          <t>創意</t>
        </is>
      </c>
      <c r="B9" s="16" t="inlineStr">
        <is>
          <t>3443</t>
        </is>
      </c>
    </row>
    <row r="10">
      <c r="A10" s="16" t="inlineStr">
        <is>
          <t>勤誠</t>
        </is>
      </c>
      <c r="B10" s="16" t="inlineStr">
        <is>
          <t>8210</t>
        </is>
      </c>
    </row>
    <row r="11">
      <c r="A11" s="16" t="inlineStr">
        <is>
          <t>南電</t>
        </is>
      </c>
      <c r="B11" s="16" t="inlineStr">
        <is>
          <t>8046</t>
        </is>
      </c>
    </row>
    <row r="12">
      <c r="A12" s="16" t="inlineStr">
        <is>
          <t>台光電</t>
        </is>
      </c>
      <c r="B12" s="16" t="inlineStr">
        <is>
          <t>2383</t>
        </is>
      </c>
    </row>
    <row r="13">
      <c r="A13" s="16" t="inlineStr">
        <is>
          <t>台達電</t>
        </is>
      </c>
      <c r="B13" s="16" t="inlineStr">
        <is>
          <t>2308</t>
        </is>
      </c>
    </row>
    <row r="14">
      <c r="A14" s="16" t="inlineStr">
        <is>
          <t>嘉澤</t>
        </is>
      </c>
      <c r="B14" s="16" t="inlineStr">
        <is>
          <t>3533</t>
        </is>
      </c>
    </row>
    <row r="15">
      <c r="A15" s="16" t="inlineStr">
        <is>
          <t>國巨</t>
        </is>
      </c>
      <c r="B15" s="16" t="inlineStr">
        <is>
          <t>2327</t>
        </is>
      </c>
    </row>
    <row r="16">
      <c r="A16" s="16" t="inlineStr">
        <is>
          <t>奇鋐</t>
        </is>
      </c>
      <c r="B16" s="16" t="inlineStr">
        <is>
          <t>3017</t>
        </is>
      </c>
    </row>
    <row r="17">
      <c r="A17" s="16" t="inlineStr">
        <is>
          <t>富世達</t>
        </is>
      </c>
      <c r="B17" s="16" t="inlineStr">
        <is>
          <t>6805</t>
        </is>
      </c>
    </row>
    <row r="18">
      <c r="A18" s="16" t="inlineStr">
        <is>
          <t>川湖</t>
        </is>
      </c>
      <c r="B18" s="16" t="inlineStr">
        <is>
          <t>2059</t>
        </is>
      </c>
    </row>
    <row r="19">
      <c r="A19" s="16" t="inlineStr">
        <is>
          <t>建準</t>
        </is>
      </c>
      <c r="B19" s="16" t="inlineStr">
        <is>
          <t>2421</t>
        </is>
      </c>
    </row>
    <row r="20">
      <c r="A20" s="16" t="inlineStr">
        <is>
          <t>愛普</t>
        </is>
      </c>
      <c r="B20" s="16" t="inlineStr">
        <is>
          <t>6531</t>
        </is>
      </c>
    </row>
    <row r="21">
      <c r="A21" s="16" t="inlineStr">
        <is>
          <t>散熱產業</t>
        </is>
      </c>
      <c r="B21" s="16" t="inlineStr">
        <is>
          <t>3017
6805
3324
2421</t>
        </is>
      </c>
    </row>
    <row r="22">
      <c r="A22" s="16" t="inlineStr">
        <is>
          <t>日月光</t>
        </is>
      </c>
      <c r="B22" s="16" t="inlineStr">
        <is>
          <t>3711</t>
        </is>
      </c>
    </row>
    <row r="23">
      <c r="A23" s="16" t="inlineStr">
        <is>
          <t>旺宏</t>
        </is>
      </c>
      <c r="B23" s="16" t="inlineStr">
        <is>
          <t>2337</t>
        </is>
      </c>
    </row>
    <row r="24">
      <c r="A24" s="16" t="inlineStr">
        <is>
          <t>景碩</t>
        </is>
      </c>
      <c r="B24" s="16" t="inlineStr">
        <is>
          <t>3189</t>
        </is>
      </c>
    </row>
    <row r="25">
      <c r="A25" s="16" t="inlineStr">
        <is>
          <t>東元</t>
        </is>
      </c>
      <c r="B25" s="16" t="inlineStr">
        <is>
          <t>1504</t>
        </is>
      </c>
    </row>
    <row r="26">
      <c r="A26" s="16" t="inlineStr">
        <is>
          <t>欣興</t>
        </is>
      </c>
      <c r="B26" s="16" t="inlineStr">
        <is>
          <t>3037</t>
        </is>
      </c>
    </row>
    <row r="27">
      <c r="A27" s="16" t="inlineStr">
        <is>
          <t>環球晶</t>
        </is>
      </c>
      <c r="B27" s="16" t="inlineStr">
        <is>
          <t>6488</t>
        </is>
      </c>
    </row>
    <row r="28">
      <c r="A28" s="16" t="inlineStr">
        <is>
          <t>緯穎</t>
        </is>
      </c>
      <c r="B28" s="16" t="inlineStr">
        <is>
          <t>6669</t>
        </is>
      </c>
    </row>
    <row r="29">
      <c r="A29" s="16" t="inlineStr">
        <is>
          <t>群聯</t>
        </is>
      </c>
      <c r="B29" s="16" t="inlineStr">
        <is>
          <t>8299</t>
        </is>
      </c>
    </row>
    <row r="30">
      <c r="A30" s="16" t="inlineStr">
        <is>
          <t>聯亞</t>
        </is>
      </c>
      <c r="B30" s="16" t="inlineStr">
        <is>
          <t>3081</t>
        </is>
      </c>
    </row>
    <row r="31">
      <c r="A31" s="16" t="inlineStr">
        <is>
          <t>聯發科</t>
        </is>
      </c>
      <c r="B31" s="16" t="inlineStr">
        <is>
          <t>2454</t>
        </is>
      </c>
    </row>
    <row r="32">
      <c r="A32" s="16" t="inlineStr">
        <is>
          <t>聯詠</t>
        </is>
      </c>
      <c r="B32" s="16" t="inlineStr">
        <is>
          <t>3034</t>
        </is>
      </c>
    </row>
    <row r="33">
      <c r="A33" s="16" t="inlineStr">
        <is>
          <t>致茂</t>
        </is>
      </c>
      <c r="B33" s="16" t="inlineStr">
        <is>
          <t>2360</t>
        </is>
      </c>
    </row>
    <row r="34">
      <c r="A34" s="16" t="inlineStr">
        <is>
          <t>華邦電</t>
        </is>
      </c>
      <c r="B34" s="16" t="inlineStr">
        <is>
          <t>2344</t>
        </is>
      </c>
    </row>
    <row r="35">
      <c r="A35" s="16" t="inlineStr">
        <is>
          <t>貿聯</t>
        </is>
      </c>
      <c r="B35" s="16" t="inlineStr">
        <is>
          <t>3665</t>
        </is>
      </c>
    </row>
    <row r="36">
      <c r="A36" s="16" t="inlineStr">
        <is>
          <t>金像電</t>
        </is>
      </c>
      <c r="B36" s="16" t="inlineStr">
        <is>
          <t>2368</t>
        </is>
      </c>
    </row>
    <row r="37">
      <c r="A37" s="16" t="inlineStr">
        <is>
          <t>雙鴻</t>
        </is>
      </c>
      <c r="B37" s="16" t="inlineStr">
        <is>
          <t>3324</t>
        </is>
      </c>
    </row>
    <row r="38">
      <c r="A38" s="16" t="inlineStr">
        <is>
          <t>鴻海</t>
        </is>
      </c>
      <c r="B38" s="16" t="inlineStr">
        <is>
          <t>2317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5" customWidth="1" min="1" max="1"/>
    <col width="5" customWidth="1" min="2" max="2"/>
    <col width="50" customWidth="1" min="3" max="3"/>
    <col width="15" customWidth="1" min="4" max="4"/>
    <col width="15" customWidth="1" min="5" max="5"/>
  </cols>
  <sheetData>
    <row r="1" ht="35" customHeight="1">
      <c r="A1" s="4" t="inlineStr">
        <is>
          <t>📖 外電綜合報導資料庫 - 使用說明</t>
        </is>
      </c>
    </row>
    <row r="2">
      <c r="A2" s="17" t="inlineStr"/>
      <c r="B2" s="17" t="inlineStr"/>
      <c r="C2" s="17" t="inlineStr"/>
      <c r="D2" s="17" t="inlineStr"/>
      <c r="E2" s="17" t="inlineStr"/>
    </row>
    <row r="3">
      <c r="A3" s="18" t="inlineStr">
        <is>
          <t>📊 工作表說明</t>
        </is>
      </c>
      <c r="B3" s="17" t="inlineStr"/>
      <c r="C3" s="17" t="inlineStr"/>
      <c r="D3" s="17" t="inlineStr"/>
      <c r="E3" s="17" t="inlineStr"/>
    </row>
    <row r="4">
      <c r="A4" s="17" t="inlineStr"/>
      <c r="B4" s="17" t="inlineStr"/>
      <c r="C4" s="17" t="inlineStr"/>
      <c r="D4" s="17" t="inlineStr"/>
      <c r="E4" s="17" t="inlineStr"/>
    </row>
    <row r="5">
      <c r="A5" s="18" t="inlineStr">
        <is>
          <t>1. 公司查詢</t>
        </is>
      </c>
      <c r="B5" s="17" t="inlineStr">
        <is>
          <t>→</t>
        </is>
      </c>
      <c r="C5" s="18" t="inlineStr">
        <is>
          <t>快速查詢特定公司的所有報導</t>
        </is>
      </c>
      <c r="D5" s="17" t="inlineStr"/>
      <c r="E5" s="17" t="inlineStr"/>
    </row>
    <row r="6">
      <c r="A6" s="18" t="inlineStr">
        <is>
          <t>2. 報導總表</t>
        </is>
      </c>
      <c r="B6" s="17" t="inlineStr">
        <is>
          <t>→</t>
        </is>
      </c>
      <c r="C6" s="18" t="inlineStr">
        <is>
          <t>所有報導的摘要列表，可篩選排序</t>
        </is>
      </c>
      <c r="D6" s="17" t="inlineStr"/>
      <c r="E6" s="17" t="inlineStr"/>
    </row>
    <row r="7">
      <c r="A7" s="18" t="inlineStr">
        <is>
          <t>3. 完整內容收錄</t>
        </is>
      </c>
      <c r="B7" s="17" t="inlineStr">
        <is>
          <t>→</t>
        </is>
      </c>
      <c r="C7" s="18" t="inlineStr">
        <is>
          <t>保存完整原始報導內容</t>
        </is>
      </c>
      <c r="D7" s="17" t="inlineStr"/>
      <c r="E7" s="17" t="inlineStr"/>
    </row>
    <row r="8">
      <c r="A8" s="18" t="inlineStr">
        <is>
          <t>4. 產業趨勢專區</t>
        </is>
      </c>
      <c r="B8" s="17" t="inlineStr">
        <is>
          <t>→</t>
        </is>
      </c>
      <c r="C8" s="18" t="inlineStr">
        <is>
          <t>產業面的重要趨勢報導</t>
        </is>
      </c>
      <c r="D8" s="17" t="inlineStr"/>
      <c r="E8" s="17" t="inlineStr"/>
    </row>
    <row r="9">
      <c r="A9" s="18" t="inlineStr">
        <is>
          <t>5. 公司代碼對照</t>
        </is>
      </c>
      <c r="B9" s="17" t="inlineStr">
        <is>
          <t>→</t>
        </is>
      </c>
      <c r="C9" s="18" t="inlineStr">
        <is>
          <t>查詢公司名稱與股號對照</t>
        </is>
      </c>
      <c r="D9" s="17" t="inlineStr"/>
      <c r="E9" s="17" t="inlineStr"/>
    </row>
    <row r="10">
      <c r="A10" s="17" t="inlineStr"/>
      <c r="B10" s="17" t="inlineStr"/>
      <c r="C10" s="17" t="inlineStr"/>
      <c r="D10" s="17" t="inlineStr"/>
      <c r="E10" s="17" t="inlineStr"/>
    </row>
    <row r="11">
      <c r="A11" s="17" t="inlineStr"/>
      <c r="B11" s="17" t="inlineStr"/>
      <c r="C11" s="17" t="inlineStr"/>
      <c r="D11" s="17" t="inlineStr"/>
      <c r="E11" s="17" t="inlineStr"/>
    </row>
    <row r="12">
      <c r="A12" s="18" t="inlineStr">
        <is>
          <t>🔍 如何使用「公司查詢」</t>
        </is>
      </c>
      <c r="B12" s="17" t="inlineStr"/>
      <c r="C12" s="17" t="inlineStr"/>
      <c r="D12" s="17" t="inlineStr"/>
      <c r="E12" s="17" t="inlineStr"/>
    </row>
    <row r="13">
      <c r="A13" s="17" t="inlineStr"/>
      <c r="B13" s="17" t="inlineStr"/>
      <c r="C13" s="17" t="inlineStr"/>
      <c r="D13" s="17" t="inlineStr"/>
      <c r="E13" s="17" t="inlineStr"/>
    </row>
    <row r="14">
      <c r="A14" s="18" t="inlineStr">
        <is>
          <t>步驟1：</t>
        </is>
      </c>
      <c r="B14" s="18" t="inlineStr">
        <is>
          <t>前往「公司查詢」工作表</t>
        </is>
      </c>
      <c r="C14" s="17" t="inlineStr"/>
      <c r="D14" s="17" t="inlineStr"/>
      <c r="E14" s="17" t="inlineStr"/>
    </row>
    <row r="15">
      <c r="A15" s="18" t="inlineStr">
        <is>
          <t>步驟2：</t>
        </is>
      </c>
      <c r="B15" s="18" t="inlineStr">
        <is>
          <t>在輸入框中輸入股號（如：3017）或公司名稱（如：奇鋐）</t>
        </is>
      </c>
      <c r="C15" s="17" t="inlineStr"/>
      <c r="D15" s="17" t="inlineStr"/>
      <c r="E15" s="17" t="inlineStr"/>
    </row>
    <row r="16">
      <c r="A16" s="18" t="inlineStr">
        <is>
          <t>步驟3：</t>
        </is>
      </c>
      <c r="B16" s="18" t="inlineStr">
        <is>
          <t>按Enter，手動篩選結果</t>
        </is>
      </c>
      <c r="C16" s="17" t="inlineStr"/>
      <c r="D16" s="17" t="inlineStr"/>
      <c r="E16" s="17" t="inlineStr"/>
    </row>
    <row r="17">
      <c r="A17" s="17" t="inlineStr"/>
      <c r="B17" s="17" t="inlineStr"/>
      <c r="C17" s="17" t="inlineStr"/>
      <c r="D17" s="17" t="inlineStr"/>
      <c r="E17" s="17" t="inlineStr"/>
    </row>
    <row r="18">
      <c r="A18" s="18" t="inlineStr">
        <is>
          <t>💡 提示：</t>
        </is>
      </c>
      <c r="B18" s="18" t="inlineStr">
        <is>
          <t>可使用「報導總表」的篩選功能查看特定日期或券商的報導</t>
        </is>
      </c>
      <c r="C18" s="17" t="inlineStr"/>
      <c r="D18" s="17" t="inlineStr"/>
      <c r="E18" s="17" t="inlineStr"/>
    </row>
    <row r="19">
      <c r="A19" s="17" t="inlineStr"/>
      <c r="B19" s="17" t="inlineStr"/>
      <c r="C19" s="17" t="inlineStr"/>
      <c r="D19" s="17" t="inlineStr"/>
      <c r="E19" s="17" t="inlineStr"/>
    </row>
    <row r="20">
      <c r="A20" s="17" t="inlineStr"/>
      <c r="B20" s="17" t="inlineStr"/>
      <c r="C20" s="17" t="inlineStr"/>
      <c r="D20" s="17" t="inlineStr"/>
      <c r="E20" s="17" t="inlineStr"/>
    </row>
    <row r="21">
      <c r="A21" s="18" t="inlineStr">
        <is>
          <t>⭐ 重要性等級說明</t>
        </is>
      </c>
      <c r="B21" s="17" t="inlineStr"/>
      <c r="C21" s="17" t="inlineStr"/>
      <c r="D21" s="17" t="inlineStr"/>
      <c r="E21" s="17" t="inlineStr"/>
    </row>
    <row r="22">
      <c r="A22" s="17" t="inlineStr"/>
      <c r="B22" s="17" t="inlineStr"/>
      <c r="C22" s="17" t="inlineStr"/>
      <c r="D22" s="17" t="inlineStr"/>
      <c r="E22" s="17" t="inlineStr"/>
    </row>
    <row r="23">
      <c r="A23" s="18" t="inlineStr">
        <is>
          <t>⭐⭐⭐⭐⭐</t>
        </is>
      </c>
      <c r="B23" s="17" t="inlineStr">
        <is>
          <t>→</t>
        </is>
      </c>
      <c r="C23" s="18" t="inlineStr">
        <is>
          <t>極重要（重大財務調整、關鍵產業趨勢）</t>
        </is>
      </c>
      <c r="D23" s="17" t="inlineStr"/>
      <c r="E23" s="17" t="inlineStr"/>
    </row>
    <row r="24">
      <c r="A24" s="18" t="inlineStr">
        <is>
          <t>⭐⭐⭐⭐</t>
        </is>
      </c>
      <c r="B24" s="17" t="inlineStr">
        <is>
          <t>→</t>
        </is>
      </c>
      <c r="C24" s="18" t="inlineStr">
        <is>
          <t>重要（重要營運展望、市佔變化）</t>
        </is>
      </c>
      <c r="D24" s="17" t="inlineStr"/>
      <c r="E24" s="17" t="inlineStr"/>
    </row>
    <row r="25">
      <c r="A25" s="18" t="inlineStr">
        <is>
          <t>⭐⭐⭐</t>
        </is>
      </c>
      <c r="B25" s="17" t="inlineStr">
        <is>
          <t>→</t>
        </is>
      </c>
      <c r="C25" s="18" t="inlineStr">
        <is>
          <t>一般（追蹤報導、法說會前瞻）</t>
        </is>
      </c>
      <c r="D25" s="17" t="inlineStr"/>
      <c r="E25" s="17" t="inlineStr"/>
    </row>
    <row r="26">
      <c r="A26" s="18" t="inlineStr">
        <is>
          <t>⭐⭐</t>
        </is>
      </c>
      <c r="B26" s="17" t="inlineStr">
        <is>
          <t>→</t>
        </is>
      </c>
      <c r="C26" s="18" t="inlineStr">
        <is>
          <t>參考（降評、次要資訊）</t>
        </is>
      </c>
      <c r="D26" s="17" t="inlineStr"/>
      <c r="E26" s="17" t="inlineStr"/>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50"/>
  <sheetViews>
    <sheetView workbookViewId="0">
      <selection activeCell="A1" sqref="A1"/>
    </sheetView>
  </sheetViews>
  <sheetFormatPr baseColWidth="8" defaultRowHeight="15"/>
  <sheetData>
    <row r="1">
      <c r="A1" t="inlineStr">
        <is>
          <t>原始列號</t>
        </is>
      </c>
      <c r="B1" t="inlineStr">
        <is>
          <t>符合條件</t>
        </is>
      </c>
      <c r="C1" t="inlineStr">
        <is>
          <t>累計筆數</t>
        </is>
      </c>
    </row>
    <row r="2">
      <c r="A2" t="n">
        <v>1</v>
      </c>
      <c r="B2">
        <f>IF(公司查詢!$A$4="",0,IF(OR(完整內容收錄!D2=公司查詢!$A$4,ISNUMBER(SEARCH(公司查詢!$A$4,完整內容收錄!C2))),1,0))</f>
        <v/>
      </c>
      <c r="C2">
        <f>B2</f>
        <v/>
      </c>
    </row>
    <row r="3">
      <c r="A3" t="n">
        <v>2</v>
      </c>
      <c r="B3">
        <f>IF(公司查詢!$A$4="",0,IF(OR(完整內容收錄!D3=公司查詢!$A$4,ISNUMBER(SEARCH(公司查詢!$A$4,完整內容收錄!C3))),1,0))</f>
        <v/>
      </c>
      <c r="C3">
        <f>B3+C2</f>
        <v/>
      </c>
    </row>
    <row r="4">
      <c r="A4" t="n">
        <v>3</v>
      </c>
      <c r="B4">
        <f>IF(公司查詢!$A$4="",0,IF(OR(完整內容收錄!D4=公司查詢!$A$4,ISNUMBER(SEARCH(公司查詢!$A$4,完整內容收錄!C4))),1,0))</f>
        <v/>
      </c>
      <c r="C4">
        <f>B4+C3</f>
        <v/>
      </c>
    </row>
    <row r="5">
      <c r="A5" t="n">
        <v>4</v>
      </c>
      <c r="B5">
        <f>IF(公司查詢!$A$4="",0,IF(OR(完整內容收錄!D5=公司查詢!$A$4,ISNUMBER(SEARCH(公司查詢!$A$4,完整內容收錄!C5))),1,0))</f>
        <v/>
      </c>
      <c r="C5">
        <f>B5+C4</f>
        <v/>
      </c>
    </row>
    <row r="6">
      <c r="A6" t="n">
        <v>5</v>
      </c>
      <c r="B6">
        <f>IF(公司查詢!$A$4="",0,IF(OR(完整內容收錄!D6=公司查詢!$A$4,ISNUMBER(SEARCH(公司查詢!$A$4,完整內容收錄!C6))),1,0))</f>
        <v/>
      </c>
      <c r="C6">
        <f>B6+C5</f>
        <v/>
      </c>
    </row>
    <row r="7">
      <c r="A7" t="n">
        <v>6</v>
      </c>
      <c r="B7">
        <f>IF(公司查詢!$A$4="",0,IF(OR(完整內容收錄!D7=公司查詢!$A$4,ISNUMBER(SEARCH(公司查詢!$A$4,完整內容收錄!C7))),1,0))</f>
        <v/>
      </c>
      <c r="C7">
        <f>B7+C6</f>
        <v/>
      </c>
    </row>
    <row r="8">
      <c r="A8" t="n">
        <v>7</v>
      </c>
      <c r="B8">
        <f>IF(公司查詢!$A$4="",0,IF(OR(完整內容收錄!D8=公司查詢!$A$4,ISNUMBER(SEARCH(公司查詢!$A$4,完整內容收錄!C8))),1,0))</f>
        <v/>
      </c>
      <c r="C8">
        <f>B8+C7</f>
        <v/>
      </c>
    </row>
    <row r="9">
      <c r="A9" t="n">
        <v>8</v>
      </c>
      <c r="B9">
        <f>IF(公司查詢!$A$4="",0,IF(OR(完整內容收錄!D9=公司查詢!$A$4,ISNUMBER(SEARCH(公司查詢!$A$4,完整內容收錄!C9))),1,0))</f>
        <v/>
      </c>
      <c r="C9">
        <f>B9+C8</f>
        <v/>
      </c>
    </row>
    <row r="10">
      <c r="A10" t="n">
        <v>9</v>
      </c>
      <c r="B10">
        <f>IF(公司查詢!$A$4="",0,IF(OR(完整內容收錄!D10=公司查詢!$A$4,ISNUMBER(SEARCH(公司查詢!$A$4,完整內容收錄!C10))),1,0))</f>
        <v/>
      </c>
      <c r="C10">
        <f>B10+C9</f>
        <v/>
      </c>
    </row>
    <row r="11">
      <c r="A11" t="n">
        <v>10</v>
      </c>
      <c r="B11">
        <f>IF(公司查詢!$A$4="",0,IF(OR(完整內容收錄!D11=公司查詢!$A$4,ISNUMBER(SEARCH(公司查詢!$A$4,完整內容收錄!C11))),1,0))</f>
        <v/>
      </c>
      <c r="C11">
        <f>B11+C10</f>
        <v/>
      </c>
    </row>
    <row r="12">
      <c r="A12" t="n">
        <v>11</v>
      </c>
      <c r="B12">
        <f>IF(公司查詢!$A$4="",0,IF(OR(完整內容收錄!D12=公司查詢!$A$4,ISNUMBER(SEARCH(公司查詢!$A$4,完整內容收錄!C12))),1,0))</f>
        <v/>
      </c>
      <c r="C12">
        <f>B12+C11</f>
        <v/>
      </c>
    </row>
    <row r="13">
      <c r="A13" t="n">
        <v>12</v>
      </c>
      <c r="B13">
        <f>IF(公司查詢!$A$4="",0,IF(OR(完整內容收錄!D13=公司查詢!$A$4,ISNUMBER(SEARCH(公司查詢!$A$4,完整內容收錄!C13))),1,0))</f>
        <v/>
      </c>
      <c r="C13">
        <f>B13+C12</f>
        <v/>
      </c>
    </row>
    <row r="14">
      <c r="A14" t="n">
        <v>13</v>
      </c>
      <c r="B14">
        <f>IF(公司查詢!$A$4="",0,IF(OR(完整內容收錄!D14=公司查詢!$A$4,ISNUMBER(SEARCH(公司查詢!$A$4,完整內容收錄!C14))),1,0))</f>
        <v/>
      </c>
      <c r="C14">
        <f>B14+C13</f>
        <v/>
      </c>
    </row>
    <row r="15">
      <c r="A15" t="n">
        <v>14</v>
      </c>
      <c r="B15">
        <f>IF(公司查詢!$A$4="",0,IF(OR(完整內容收錄!D15=公司查詢!$A$4,ISNUMBER(SEARCH(公司查詢!$A$4,完整內容收錄!C15))),1,0))</f>
        <v/>
      </c>
      <c r="C15">
        <f>B15+C14</f>
        <v/>
      </c>
    </row>
    <row r="16">
      <c r="A16" t="n">
        <v>15</v>
      </c>
      <c r="B16">
        <f>IF(公司查詢!$A$4="",0,IF(OR(完整內容收錄!D16=公司查詢!$A$4,ISNUMBER(SEARCH(公司查詢!$A$4,完整內容收錄!C16))),1,0))</f>
        <v/>
      </c>
      <c r="C16">
        <f>B16+C15</f>
        <v/>
      </c>
    </row>
    <row r="17">
      <c r="A17" t="n">
        <v>16</v>
      </c>
      <c r="B17">
        <f>IF(公司查詢!$A$4="",0,IF(OR(完整內容收錄!D17=公司查詢!$A$4,ISNUMBER(SEARCH(公司查詢!$A$4,完整內容收錄!C17))),1,0))</f>
        <v/>
      </c>
      <c r="C17">
        <f>B17+C16</f>
        <v/>
      </c>
    </row>
    <row r="18">
      <c r="A18" t="n">
        <v>17</v>
      </c>
      <c r="B18">
        <f>IF(公司查詢!$A$4="",0,IF(OR(完整內容收錄!D18=公司查詢!$A$4,ISNUMBER(SEARCH(公司查詢!$A$4,完整內容收錄!C18))),1,0))</f>
        <v/>
      </c>
      <c r="C18">
        <f>B18+C17</f>
        <v/>
      </c>
    </row>
    <row r="19">
      <c r="A19" t="n">
        <v>18</v>
      </c>
      <c r="B19">
        <f>IF(公司查詢!$A$4="",0,IF(OR(完整內容收錄!D19=公司查詢!$A$4,ISNUMBER(SEARCH(公司查詢!$A$4,完整內容收錄!C19))),1,0))</f>
        <v/>
      </c>
      <c r="C19">
        <f>B19+C18</f>
        <v/>
      </c>
    </row>
    <row r="20">
      <c r="A20" t="n">
        <v>19</v>
      </c>
      <c r="B20">
        <f>IF(公司查詢!$A$4="",0,IF(OR(完整內容收錄!D20=公司查詢!$A$4,ISNUMBER(SEARCH(公司查詢!$A$4,完整內容收錄!C20))),1,0))</f>
        <v/>
      </c>
      <c r="C20">
        <f>B20+C19</f>
        <v/>
      </c>
    </row>
    <row r="21">
      <c r="A21" t="n">
        <v>20</v>
      </c>
      <c r="B21">
        <f>IF(公司查詢!$A$4="",0,IF(OR(完整內容收錄!D21=公司查詢!$A$4,ISNUMBER(SEARCH(公司查詢!$A$4,完整內容收錄!C21))),1,0))</f>
        <v/>
      </c>
      <c r="C21">
        <f>B21+C20</f>
        <v/>
      </c>
    </row>
    <row r="22">
      <c r="A22" t="n">
        <v>21</v>
      </c>
      <c r="B22">
        <f>IF(公司查詢!$A$4="",0,IF(OR(完整內容收錄!D22=公司查詢!$A$4,ISNUMBER(SEARCH(公司查詢!$A$4,完整內容收錄!C22))),1,0))</f>
        <v/>
      </c>
      <c r="C22">
        <f>B22+C21</f>
        <v/>
      </c>
    </row>
    <row r="23">
      <c r="A23" t="n">
        <v>22</v>
      </c>
      <c r="B23">
        <f>IF(公司查詢!$A$4="",0,IF(OR(完整內容收錄!D23=公司查詢!$A$4,ISNUMBER(SEARCH(公司查詢!$A$4,完整內容收錄!C23))),1,0))</f>
        <v/>
      </c>
      <c r="C23">
        <f>B23+C22</f>
        <v/>
      </c>
    </row>
    <row r="24">
      <c r="A24" t="n">
        <v>23</v>
      </c>
      <c r="B24">
        <f>IF(公司查詢!$A$4="",0,IF(OR(完整內容收錄!D24=公司查詢!$A$4,ISNUMBER(SEARCH(公司查詢!$A$4,完整內容收錄!C24))),1,0))</f>
        <v/>
      </c>
      <c r="C24">
        <f>B24+C23</f>
        <v/>
      </c>
    </row>
    <row r="25">
      <c r="A25" t="n">
        <v>24</v>
      </c>
      <c r="B25">
        <f>IF(公司查詢!$A$4="",0,IF(OR(完整內容收錄!D25=公司查詢!$A$4,ISNUMBER(SEARCH(公司查詢!$A$4,完整內容收錄!C25))),1,0))</f>
        <v/>
      </c>
      <c r="C25">
        <f>B25+C24</f>
        <v/>
      </c>
    </row>
    <row r="26">
      <c r="A26" t="n">
        <v>25</v>
      </c>
      <c r="B26">
        <f>IF(公司查詢!$A$4="",0,IF(OR(完整內容收錄!D26=公司查詢!$A$4,ISNUMBER(SEARCH(公司查詢!$A$4,完整內容收錄!C26))),1,0))</f>
        <v/>
      </c>
      <c r="C26">
        <f>B26+C25</f>
        <v/>
      </c>
    </row>
    <row r="27">
      <c r="A27" t="n">
        <v>26</v>
      </c>
      <c r="B27">
        <f>IF(公司查詢!$A$4="",0,IF(OR(完整內容收錄!D27=公司查詢!$A$4,ISNUMBER(SEARCH(公司查詢!$A$4,完整內容收錄!C27))),1,0))</f>
        <v/>
      </c>
      <c r="C27">
        <f>B27+C26</f>
        <v/>
      </c>
    </row>
    <row r="28">
      <c r="A28" t="n">
        <v>27</v>
      </c>
      <c r="B28">
        <f>IF(公司查詢!$A$4="",0,IF(OR(完整內容收錄!D28=公司查詢!$A$4,ISNUMBER(SEARCH(公司查詢!$A$4,完整內容收錄!C28))),1,0))</f>
        <v/>
      </c>
      <c r="C28">
        <f>B28+C27</f>
        <v/>
      </c>
    </row>
    <row r="29">
      <c r="A29" t="n">
        <v>28</v>
      </c>
      <c r="B29">
        <f>IF(公司查詢!$A$4="",0,IF(OR(完整內容收錄!D29=公司查詢!$A$4,ISNUMBER(SEARCH(公司查詢!$A$4,完整內容收錄!C29))),1,0))</f>
        <v/>
      </c>
      <c r="C29">
        <f>B29+C28</f>
        <v/>
      </c>
    </row>
    <row r="30">
      <c r="A30" t="n">
        <v>29</v>
      </c>
      <c r="B30">
        <f>IF(公司查詢!$A$4="",0,IF(OR(完整內容收錄!D30=公司查詢!$A$4,ISNUMBER(SEARCH(公司查詢!$A$4,完整內容收錄!C30))),1,0))</f>
        <v/>
      </c>
      <c r="C30">
        <f>B30+C29</f>
        <v/>
      </c>
    </row>
    <row r="31">
      <c r="A31" t="n">
        <v>30</v>
      </c>
      <c r="B31">
        <f>IF(公司查詢!$A$4="",0,IF(OR(完整內容收錄!D31=公司查詢!$A$4,ISNUMBER(SEARCH(公司查詢!$A$4,完整內容收錄!C31))),1,0))</f>
        <v/>
      </c>
      <c r="C31">
        <f>B31+C30</f>
        <v/>
      </c>
    </row>
    <row r="32">
      <c r="A32" t="n">
        <v>31</v>
      </c>
      <c r="B32">
        <f>IF(公司查詢!$A$4="",0,IF(OR(完整內容收錄!D32=公司查詢!$A$4,ISNUMBER(SEARCH(公司查詢!$A$4,完整內容收錄!C32))),1,0))</f>
        <v/>
      </c>
      <c r="C32">
        <f>B32+C31</f>
        <v/>
      </c>
    </row>
    <row r="33">
      <c r="A33" t="n">
        <v>32</v>
      </c>
      <c r="B33">
        <f>IF(公司查詢!$A$4="",0,IF(OR(完整內容收錄!D33=公司查詢!$A$4,ISNUMBER(SEARCH(公司查詢!$A$4,完整內容收錄!C33))),1,0))</f>
        <v/>
      </c>
      <c r="C33">
        <f>B33+C32</f>
        <v/>
      </c>
    </row>
    <row r="34">
      <c r="A34" t="n">
        <v>33</v>
      </c>
      <c r="B34">
        <f>IF(公司查詢!$A$4="",0,IF(OR(完整內容收錄!D34=公司查詢!$A$4,ISNUMBER(SEARCH(公司查詢!$A$4,完整內容收錄!C34))),1,0))</f>
        <v/>
      </c>
      <c r="C34">
        <f>B34+C33</f>
        <v/>
      </c>
    </row>
    <row r="35">
      <c r="A35" t="n">
        <v>34</v>
      </c>
      <c r="B35">
        <f>IF(公司查詢!$A$4="",0,IF(OR(完整內容收錄!D35=公司查詢!$A$4,ISNUMBER(SEARCH(公司查詢!$A$4,完整內容收錄!C35))),1,0))</f>
        <v/>
      </c>
      <c r="C35">
        <f>B35+C34</f>
        <v/>
      </c>
    </row>
    <row r="36">
      <c r="A36" t="n">
        <v>35</v>
      </c>
      <c r="B36">
        <f>IF(公司查詢!$A$4="",0,IF(OR(完整內容收錄!D36=公司查詢!$A$4,ISNUMBER(SEARCH(公司查詢!$A$4,完整內容收錄!C36))),1,0))</f>
        <v/>
      </c>
      <c r="C36">
        <f>B36+C35</f>
        <v/>
      </c>
    </row>
    <row r="37">
      <c r="A37" t="n">
        <v>36</v>
      </c>
      <c r="B37">
        <f>IF(公司查詢!$A$4="",0,IF(OR(完整內容收錄!D37=公司查詢!$A$4,ISNUMBER(SEARCH(公司查詢!$A$4,完整內容收錄!C37))),1,0))</f>
        <v/>
      </c>
      <c r="C37">
        <f>B37+C36</f>
        <v/>
      </c>
    </row>
    <row r="38">
      <c r="A38" t="n">
        <v>37</v>
      </c>
      <c r="B38">
        <f>IF(公司查詢!$A$4="",0,IF(OR(完整內容收錄!D38=公司查詢!$A$4,ISNUMBER(SEARCH(公司查詢!$A$4,完整內容收錄!C38))),1,0))</f>
        <v/>
      </c>
      <c r="C38">
        <f>B38+C37</f>
        <v/>
      </c>
    </row>
    <row r="39">
      <c r="A39" t="n">
        <v>38</v>
      </c>
      <c r="B39">
        <f>IF(公司查詢!$A$4="",0,IF(OR(完整內容收錄!D39=公司查詢!$A$4,ISNUMBER(SEARCH(公司查詢!$A$4,完整內容收錄!C39))),1,0))</f>
        <v/>
      </c>
      <c r="C39">
        <f>B39+C38</f>
        <v/>
      </c>
    </row>
    <row r="40">
      <c r="A40" t="n">
        <v>39</v>
      </c>
      <c r="B40">
        <f>IF(公司查詢!$A$4="",0,IF(OR(完整內容收錄!D40=公司查詢!$A$4,ISNUMBER(SEARCH(公司查詢!$A$4,完整內容收錄!C40))),1,0))</f>
        <v/>
      </c>
      <c r="C40">
        <f>B40+C39</f>
        <v/>
      </c>
    </row>
    <row r="41">
      <c r="A41" t="n">
        <v>40</v>
      </c>
      <c r="B41">
        <f>IF(公司查詢!$A$4="",0,IF(OR(完整內容收錄!D41=公司查詢!$A$4,ISNUMBER(SEARCH(公司查詢!$A$4,完整內容收錄!C41))),1,0))</f>
        <v/>
      </c>
      <c r="C41">
        <f>B41+C40</f>
        <v/>
      </c>
    </row>
    <row r="42">
      <c r="A42" t="n">
        <v>41</v>
      </c>
      <c r="B42">
        <f>IF(公司查詢!$A$4="",0,IF(OR(完整內容收錄!D42=公司查詢!$A$4,ISNUMBER(SEARCH(公司查詢!$A$4,完整內容收錄!C42))),1,0))</f>
        <v/>
      </c>
      <c r="C42">
        <f>B42+C41</f>
        <v/>
      </c>
    </row>
    <row r="43">
      <c r="A43" t="n">
        <v>42</v>
      </c>
      <c r="B43">
        <f>IF(公司查詢!$A$4="",0,IF(OR(完整內容收錄!D43=公司查詢!$A$4,ISNUMBER(SEARCH(公司查詢!$A$4,完整內容收錄!C43))),1,0))</f>
        <v/>
      </c>
      <c r="C43">
        <f>B43+C42</f>
        <v/>
      </c>
    </row>
    <row r="44">
      <c r="A44" t="n">
        <v>43</v>
      </c>
      <c r="B44">
        <f>IF(公司查詢!$A$4="",0,IF(OR(完整內容收錄!D44=公司查詢!$A$4,ISNUMBER(SEARCH(公司查詢!$A$4,完整內容收錄!C44))),1,0))</f>
        <v/>
      </c>
      <c r="C44">
        <f>B44+C43</f>
        <v/>
      </c>
    </row>
    <row r="45">
      <c r="A45" t="n">
        <v>44</v>
      </c>
      <c r="B45">
        <f>IF(公司查詢!$A$4="",0,IF(OR(完整內容收錄!D45=公司查詢!$A$4,ISNUMBER(SEARCH(公司查詢!$A$4,完整內容收錄!C45))),1,0))</f>
        <v/>
      </c>
      <c r="C45">
        <f>B45+C44</f>
        <v/>
      </c>
    </row>
    <row r="46">
      <c r="A46" t="n">
        <v>45</v>
      </c>
      <c r="B46">
        <f>IF(公司查詢!$A$4="",0,IF(OR(完整內容收錄!D46=公司查詢!$A$4,ISNUMBER(SEARCH(公司查詢!$A$4,完整內容收錄!C46))),1,0))</f>
        <v/>
      </c>
      <c r="C46">
        <f>B46+C45</f>
        <v/>
      </c>
    </row>
    <row r="47">
      <c r="A47" t="n">
        <v>46</v>
      </c>
      <c r="B47">
        <f>IF(公司查詢!$A$4="",0,IF(OR(完整內容收錄!D47=公司查詢!$A$4,ISNUMBER(SEARCH(公司查詢!$A$4,完整內容收錄!C47))),1,0))</f>
        <v/>
      </c>
      <c r="C47">
        <f>B47+C46</f>
        <v/>
      </c>
    </row>
    <row r="48">
      <c r="A48" t="n">
        <v>47</v>
      </c>
      <c r="B48">
        <f>IF(公司查詢!$A$4="",0,IF(OR(完整內容收錄!D48=公司查詢!$A$4,ISNUMBER(SEARCH(公司查詢!$A$4,完整內容收錄!C48))),1,0))</f>
        <v/>
      </c>
      <c r="C48">
        <f>B48+C47</f>
        <v/>
      </c>
    </row>
    <row r="49">
      <c r="A49" t="n">
        <v>48</v>
      </c>
      <c r="B49">
        <f>IF(公司查詢!$A$4="",0,IF(OR(完整內容收錄!D49=公司查詢!$A$4,ISNUMBER(SEARCH(公司查詢!$A$4,完整內容收錄!C49))),1,0))</f>
        <v/>
      </c>
      <c r="C49">
        <f>B49+C48</f>
        <v/>
      </c>
    </row>
    <row r="50">
      <c r="A50" t="n">
        <v>49</v>
      </c>
      <c r="B50">
        <f>IF(公司查詢!$A$4="",0,IF(OR(完整內容收錄!D50=公司查詢!$A$4,ISNUMBER(SEARCH(公司查詢!$A$4,完整內容收錄!C50))),1,0))</f>
        <v/>
      </c>
      <c r="C50">
        <f>B50+C49</f>
        <v/>
      </c>
    </row>
    <row r="51">
      <c r="A51" t="n">
        <v>50</v>
      </c>
      <c r="B51">
        <f>IF(公司查詢!$A$4="",0,IF(OR(完整內容收錄!D51=公司查詢!$A$4,ISNUMBER(SEARCH(公司查詢!$A$4,完整內容收錄!C51))),1,0))</f>
        <v/>
      </c>
      <c r="C51">
        <f>B51+C50</f>
        <v/>
      </c>
    </row>
    <row r="52">
      <c r="B52">
        <f>IF(公司查詢!$A$4="",0,IF(OR(完整內容收錄!D52=公司查詢!$A$4,ISNUMBER(SEARCH(公司查詢!$A$4,完整內容收錄!C52))),1,0))</f>
        <v/>
      </c>
      <c r="C52">
        <f>B52+C51</f>
        <v/>
      </c>
    </row>
    <row r="53">
      <c r="B53">
        <f>IF(公司查詢!$A$4="",0,IF(OR(完整內容收錄!D53=公司查詢!$A$4,ISNUMBER(SEARCH(公司查詢!$A$4,完整內容收錄!C53))),1,0))</f>
        <v/>
      </c>
      <c r="C53">
        <f>B53+C52</f>
        <v/>
      </c>
    </row>
    <row r="54">
      <c r="B54">
        <f>IF(公司查詢!$A$4="",0,IF(OR(完整內容收錄!D54=公司查詢!$A$4,ISNUMBER(SEARCH(公司查詢!$A$4,完整內容收錄!C54))),1,0))</f>
        <v/>
      </c>
      <c r="C54">
        <f>B54+C53</f>
        <v/>
      </c>
    </row>
    <row r="55">
      <c r="B55">
        <f>IF(公司查詢!$A$4="",0,IF(OR(完整內容收錄!D55=公司查詢!$A$4,ISNUMBER(SEARCH(公司查詢!$A$4,完整內容收錄!C55))),1,0))</f>
        <v/>
      </c>
      <c r="C55">
        <f>B55+C54</f>
        <v/>
      </c>
    </row>
    <row r="56">
      <c r="B56">
        <f>IF(公司查詢!$A$4="",0,IF(OR(完整內容收錄!D56=公司查詢!$A$4,ISNUMBER(SEARCH(公司查詢!$A$4,完整內容收錄!C56))),1,0))</f>
        <v/>
      </c>
      <c r="C56">
        <f>B56+C55</f>
        <v/>
      </c>
    </row>
    <row r="57">
      <c r="B57">
        <f>IF(公司查詢!$A$4="",0,IF(OR(完整內容收錄!D57=公司查詢!$A$4,ISNUMBER(SEARCH(公司查詢!$A$4,完整內容收錄!C57))),1,0))</f>
        <v/>
      </c>
      <c r="C57">
        <f>B57+C56</f>
        <v/>
      </c>
    </row>
    <row r="58">
      <c r="B58">
        <f>IF(公司查詢!$A$4="",0,IF(OR(完整內容收錄!D58=公司查詢!$A$4,ISNUMBER(SEARCH(公司查詢!$A$4,完整內容收錄!C58))),1,0))</f>
        <v/>
      </c>
      <c r="C58">
        <f>B58+C57</f>
        <v/>
      </c>
    </row>
    <row r="59">
      <c r="B59">
        <f>IF(公司查詢!$A$4="",0,IF(OR(完整內容收錄!D59=公司查詢!$A$4,ISNUMBER(SEARCH(公司查詢!$A$4,完整內容收錄!C59))),1,0))</f>
        <v/>
      </c>
      <c r="C59">
        <f>B59+C58</f>
        <v/>
      </c>
    </row>
    <row r="60">
      <c r="B60">
        <f>IF(公司查詢!$A$4="",0,IF(OR(完整內容收錄!D60=公司查詢!$A$4,ISNUMBER(SEARCH(公司查詢!$A$4,完整內容收錄!C60))),1,0))</f>
        <v/>
      </c>
      <c r="C60">
        <f>B60+C59</f>
        <v/>
      </c>
    </row>
    <row r="61">
      <c r="B61">
        <f>IF(公司查詢!$A$4="",0,IF(OR(完整內容收錄!D61=公司查詢!$A$4,ISNUMBER(SEARCH(公司查詢!$A$4,完整內容收錄!C61))),1,0))</f>
        <v/>
      </c>
      <c r="C61">
        <f>B61+C60</f>
        <v/>
      </c>
    </row>
    <row r="62">
      <c r="B62">
        <f>IF(公司查詢!$A$4="",0,IF(OR(完整內容收錄!D62=公司查詢!$A$4,ISNUMBER(SEARCH(公司查詢!$A$4,完整內容收錄!C62))),1,0))</f>
        <v/>
      </c>
      <c r="C62">
        <f>B62+C61</f>
        <v/>
      </c>
    </row>
    <row r="63">
      <c r="B63">
        <f>IF(公司查詢!$A$4="",0,IF(OR(完整內容收錄!D63=公司查詢!$A$4,ISNUMBER(SEARCH(公司查詢!$A$4,完整內容收錄!C63))),1,0))</f>
        <v/>
      </c>
      <c r="C63">
        <f>B63+C62</f>
        <v/>
      </c>
    </row>
    <row r="64">
      <c r="B64">
        <f>IF(公司查詢!$A$4="",0,IF(OR(完整內容收錄!D64=公司查詢!$A$4,ISNUMBER(SEARCH(公司查詢!$A$4,完整內容收錄!C64))),1,0))</f>
        <v/>
      </c>
      <c r="C64">
        <f>B64+C63</f>
        <v/>
      </c>
    </row>
    <row r="65">
      <c r="B65">
        <f>IF(公司查詢!$A$4="",0,IF(OR(完整內容收錄!D65=公司查詢!$A$4,ISNUMBER(SEARCH(公司查詢!$A$4,完整內容收錄!C65))),1,0))</f>
        <v/>
      </c>
      <c r="C65">
        <f>B65+C64</f>
        <v/>
      </c>
    </row>
    <row r="66">
      <c r="B66">
        <f>IF(公司查詢!$A$4="",0,IF(OR(完整內容收錄!D66=公司查詢!$A$4,ISNUMBER(SEARCH(公司查詢!$A$4,完整內容收錄!C66))),1,0))</f>
        <v/>
      </c>
      <c r="C66">
        <f>B66+C65</f>
        <v/>
      </c>
    </row>
    <row r="67">
      <c r="B67">
        <f>IF(公司查詢!$A$4="",0,IF(OR(完整內容收錄!D67=公司查詢!$A$4,ISNUMBER(SEARCH(公司查詢!$A$4,完整內容收錄!C67))),1,0))</f>
        <v/>
      </c>
      <c r="C67">
        <f>B67+C66</f>
        <v/>
      </c>
    </row>
    <row r="68">
      <c r="B68">
        <f>IF(公司查詢!$A$4="",0,IF(OR(完整內容收錄!D68=公司查詢!$A$4,ISNUMBER(SEARCH(公司查詢!$A$4,完整內容收錄!C68))),1,0))</f>
        <v/>
      </c>
      <c r="C68">
        <f>B68+C67</f>
        <v/>
      </c>
    </row>
    <row r="69">
      <c r="B69">
        <f>IF(公司查詢!$A$4="",0,IF(OR(完整內容收錄!D69=公司查詢!$A$4,ISNUMBER(SEARCH(公司查詢!$A$4,完整內容收錄!C69))),1,0))</f>
        <v/>
      </c>
      <c r="C69">
        <f>B69+C68</f>
        <v/>
      </c>
    </row>
    <row r="70">
      <c r="B70">
        <f>IF(公司查詢!$A$4="",0,IF(OR(完整內容收錄!D70=公司查詢!$A$4,ISNUMBER(SEARCH(公司查詢!$A$4,完整內容收錄!C70))),1,0))</f>
        <v/>
      </c>
      <c r="C70">
        <f>B70+C69</f>
        <v/>
      </c>
    </row>
    <row r="71">
      <c r="B71">
        <f>IF(公司查詢!$A$4="",0,IF(OR(完整內容收錄!D71=公司查詢!$A$4,ISNUMBER(SEARCH(公司查詢!$A$4,完整內容收錄!C71))),1,0))</f>
        <v/>
      </c>
      <c r="C71">
        <f>B71+C70</f>
        <v/>
      </c>
    </row>
    <row r="72">
      <c r="B72">
        <f>IF(公司查詢!$A$4="",0,IF(OR(完整內容收錄!D72=公司查詢!$A$4,ISNUMBER(SEARCH(公司查詢!$A$4,完整內容收錄!C72))),1,0))</f>
        <v/>
      </c>
      <c r="C72">
        <f>B72+C71</f>
        <v/>
      </c>
    </row>
    <row r="73">
      <c r="B73">
        <f>IF(公司查詢!$A$4="",0,IF(OR(完整內容收錄!D73=公司查詢!$A$4,ISNUMBER(SEARCH(公司查詢!$A$4,完整內容收錄!C73))),1,0))</f>
        <v/>
      </c>
      <c r="C73">
        <f>B73+C72</f>
        <v/>
      </c>
    </row>
    <row r="74">
      <c r="B74">
        <f>IF(公司查詢!$A$4="",0,IF(OR(完整內容收錄!D74=公司查詢!$A$4,ISNUMBER(SEARCH(公司查詢!$A$4,完整內容收錄!C74))),1,0))</f>
        <v/>
      </c>
      <c r="C74">
        <f>B74+C73</f>
        <v/>
      </c>
    </row>
    <row r="75">
      <c r="B75">
        <f>IF(公司查詢!$A$4="",0,IF(OR(完整內容收錄!D75=公司查詢!$A$4,ISNUMBER(SEARCH(公司查詢!$A$4,完整內容收錄!C75))),1,0))</f>
        <v/>
      </c>
      <c r="C75">
        <f>B75+C74</f>
        <v/>
      </c>
    </row>
    <row r="76">
      <c r="B76">
        <f>IF(公司查詢!$A$4="",0,IF(OR(完整內容收錄!D76=公司查詢!$A$4,ISNUMBER(SEARCH(公司查詢!$A$4,完整內容收錄!C76))),1,0))</f>
        <v/>
      </c>
      <c r="C76">
        <f>B76+C75</f>
        <v/>
      </c>
    </row>
    <row r="77">
      <c r="B77">
        <f>IF(公司查詢!$A$4="",0,IF(OR(完整內容收錄!D77=公司查詢!$A$4,ISNUMBER(SEARCH(公司查詢!$A$4,完整內容收錄!C77))),1,0))</f>
        <v/>
      </c>
      <c r="C77">
        <f>B77+C76</f>
        <v/>
      </c>
    </row>
    <row r="78">
      <c r="B78">
        <f>IF(公司查詢!$A$4="",0,IF(OR(完整內容收錄!D78=公司查詢!$A$4,ISNUMBER(SEARCH(公司查詢!$A$4,完整內容收錄!C78))),1,0))</f>
        <v/>
      </c>
      <c r="C78">
        <f>B78+C77</f>
        <v/>
      </c>
    </row>
    <row r="79">
      <c r="B79">
        <f>IF(公司查詢!$A$4="",0,IF(OR(完整內容收錄!D79=公司查詢!$A$4,ISNUMBER(SEARCH(公司查詢!$A$4,完整內容收錄!C79))),1,0))</f>
        <v/>
      </c>
      <c r="C79">
        <f>B79+C78</f>
        <v/>
      </c>
    </row>
    <row r="80">
      <c r="B80">
        <f>IF(公司查詢!$A$4="",0,IF(OR(完整內容收錄!D80=公司查詢!$A$4,ISNUMBER(SEARCH(公司查詢!$A$4,完整內容收錄!C80))),1,0))</f>
        <v/>
      </c>
      <c r="C80">
        <f>B80+C79</f>
        <v/>
      </c>
    </row>
    <row r="81">
      <c r="B81">
        <f>IF(公司查詢!$A$4="",0,IF(OR(完整內容收錄!D81=公司查詢!$A$4,ISNUMBER(SEARCH(公司查詢!$A$4,完整內容收錄!C81))),1,0))</f>
        <v/>
      </c>
      <c r="C81">
        <f>B81+C80</f>
        <v/>
      </c>
    </row>
    <row r="82">
      <c r="B82">
        <f>IF(公司查詢!$A$4="",0,IF(OR(完整內容收錄!D82=公司查詢!$A$4,ISNUMBER(SEARCH(公司查詢!$A$4,完整內容收錄!C82))),1,0))</f>
        <v/>
      </c>
      <c r="C82">
        <f>B82+C81</f>
        <v/>
      </c>
    </row>
    <row r="83">
      <c r="B83">
        <f>IF(公司查詢!$A$4="",0,IF(OR(完整內容收錄!D83=公司查詢!$A$4,ISNUMBER(SEARCH(公司查詢!$A$4,完整內容收錄!C83))),1,0))</f>
        <v/>
      </c>
      <c r="C83">
        <f>B83+C82</f>
        <v/>
      </c>
    </row>
    <row r="84">
      <c r="B84">
        <f>IF(公司查詢!$A$4="",0,IF(OR(完整內容收錄!D84=公司查詢!$A$4,ISNUMBER(SEARCH(公司查詢!$A$4,完整內容收錄!C84))),1,0))</f>
        <v/>
      </c>
      <c r="C84">
        <f>B84+C83</f>
        <v/>
      </c>
    </row>
    <row r="85">
      <c r="B85">
        <f>IF(公司查詢!$A$4="",0,IF(OR(完整內容收錄!D85=公司查詢!$A$4,ISNUMBER(SEARCH(公司查詢!$A$4,完整內容收錄!C85))),1,0))</f>
        <v/>
      </c>
      <c r="C85">
        <f>B85+C84</f>
        <v/>
      </c>
    </row>
    <row r="86">
      <c r="B86">
        <f>IF(公司查詢!$A$4="",0,IF(OR(完整內容收錄!D86=公司查詢!$A$4,ISNUMBER(SEARCH(公司查詢!$A$4,完整內容收錄!C86))),1,0))</f>
        <v/>
      </c>
      <c r="C86">
        <f>B86+C85</f>
        <v/>
      </c>
    </row>
    <row r="87">
      <c r="B87">
        <f>IF(公司查詢!$A$4="",0,IF(OR(完整內容收錄!D87=公司查詢!$A$4,ISNUMBER(SEARCH(公司查詢!$A$4,完整內容收錄!C87))),1,0))</f>
        <v/>
      </c>
      <c r="C87">
        <f>B87+C86</f>
        <v/>
      </c>
    </row>
    <row r="88">
      <c r="B88">
        <f>IF(公司查詢!$A$4="",0,IF(OR(完整內容收錄!D88=公司查詢!$A$4,ISNUMBER(SEARCH(公司查詢!$A$4,完整內容收錄!C88))),1,0))</f>
        <v/>
      </c>
      <c r="C88">
        <f>B88+C87</f>
        <v/>
      </c>
    </row>
    <row r="89">
      <c r="B89">
        <f>IF(公司查詢!$A$4="",0,IF(OR(完整內容收錄!D89=公司查詢!$A$4,ISNUMBER(SEARCH(公司查詢!$A$4,完整內容收錄!C89))),1,0))</f>
        <v/>
      </c>
      <c r="C89">
        <f>B89+C88</f>
        <v/>
      </c>
    </row>
    <row r="90">
      <c r="B90">
        <f>IF(公司查詢!$A$4="",0,IF(OR(完整內容收錄!D90=公司查詢!$A$4,ISNUMBER(SEARCH(公司查詢!$A$4,完整內容收錄!C90))),1,0))</f>
        <v/>
      </c>
      <c r="C90">
        <f>B90+C89</f>
        <v/>
      </c>
    </row>
    <row r="91">
      <c r="B91">
        <f>IF(公司查詢!$A$4="",0,IF(OR(完整內容收錄!D91=公司查詢!$A$4,ISNUMBER(SEARCH(公司查詢!$A$4,完整內容收錄!C91))),1,0))</f>
        <v/>
      </c>
      <c r="C91">
        <f>B91+C90</f>
        <v/>
      </c>
    </row>
    <row r="92">
      <c r="B92">
        <f>IF(公司查詢!$A$4="",0,IF(OR(完整內容收錄!D92=公司查詢!$A$4,ISNUMBER(SEARCH(公司查詢!$A$4,完整內容收錄!C92))),1,0))</f>
        <v/>
      </c>
      <c r="C92">
        <f>B92+C91</f>
        <v/>
      </c>
    </row>
    <row r="93">
      <c r="B93">
        <f>IF(公司查詢!$A$4="",0,IF(OR(完整內容收錄!D93=公司查詢!$A$4,ISNUMBER(SEARCH(公司查詢!$A$4,完整內容收錄!C93))),1,0))</f>
        <v/>
      </c>
      <c r="C93">
        <f>B93+C92</f>
        <v/>
      </c>
    </row>
    <row r="94">
      <c r="B94">
        <f>IF(公司查詢!$A$4="",0,IF(OR(完整內容收錄!D94=公司查詢!$A$4,ISNUMBER(SEARCH(公司查詢!$A$4,完整內容收錄!C94))),1,0))</f>
        <v/>
      </c>
      <c r="C94">
        <f>B94+C93</f>
        <v/>
      </c>
    </row>
    <row r="95">
      <c r="B95">
        <f>IF(公司查詢!$A$4="",0,IF(OR(完整內容收錄!D95=公司查詢!$A$4,ISNUMBER(SEARCH(公司查詢!$A$4,完整內容收錄!C95))),1,0))</f>
        <v/>
      </c>
      <c r="C95">
        <f>B95+C94</f>
        <v/>
      </c>
    </row>
    <row r="96">
      <c r="B96">
        <f>IF(公司查詢!$A$4="",0,IF(OR(完整內容收錄!D96=公司查詢!$A$4,ISNUMBER(SEARCH(公司查詢!$A$4,完整內容收錄!C96))),1,0))</f>
        <v/>
      </c>
      <c r="C96">
        <f>B96+C95</f>
        <v/>
      </c>
    </row>
    <row r="97">
      <c r="B97">
        <f>IF(公司查詢!$A$4="",0,IF(OR(完整內容收錄!D97=公司查詢!$A$4,ISNUMBER(SEARCH(公司查詢!$A$4,完整內容收錄!C97))),1,0))</f>
        <v/>
      </c>
      <c r="C97">
        <f>B97+C96</f>
        <v/>
      </c>
    </row>
    <row r="98">
      <c r="B98">
        <f>IF(公司查詢!$A$4="",0,IF(OR(完整內容收錄!D98=公司查詢!$A$4,ISNUMBER(SEARCH(公司查詢!$A$4,完整內容收錄!C98))),1,0))</f>
        <v/>
      </c>
      <c r="C98">
        <f>B98+C97</f>
        <v/>
      </c>
    </row>
    <row r="99">
      <c r="B99">
        <f>IF(公司查詢!$A$4="",0,IF(OR(完整內容收錄!D99=公司查詢!$A$4,ISNUMBER(SEARCH(公司查詢!$A$4,完整內容收錄!C99))),1,0))</f>
        <v/>
      </c>
      <c r="C99">
        <f>B99+C98</f>
        <v/>
      </c>
    </row>
    <row r="100">
      <c r="B100">
        <f>IF(公司查詢!$A$4="",0,IF(OR(完整內容收錄!D100=公司查詢!$A$4,ISNUMBER(SEARCH(公司查詢!$A$4,完整內容收錄!C100))),1,0))</f>
        <v/>
      </c>
      <c r="C100">
        <f>B100+C99</f>
        <v/>
      </c>
    </row>
    <row r="101">
      <c r="B101">
        <f>IF(公司查詢!$A$4="",0,IF(OR(完整內容收錄!D101=公司查詢!$A$4,ISNUMBER(SEARCH(公司查詢!$A$4,完整內容收錄!C101))),1,0))</f>
        <v/>
      </c>
      <c r="C101">
        <f>B101+C100</f>
        <v/>
      </c>
    </row>
    <row r="102">
      <c r="B102">
        <f>IF(公司查詢!$A$4="",0,IF(OR(完整內容收錄!D102=公司查詢!$A$4,ISNUMBER(SEARCH(公司查詢!$A$4,完整內容收錄!C102))),1,0))</f>
        <v/>
      </c>
      <c r="C102">
        <f>B102+C101</f>
        <v/>
      </c>
    </row>
    <row r="103">
      <c r="B103">
        <f>IF(公司查詢!$A$4="",0,IF(OR(完整內容收錄!D103=公司查詢!$A$4,ISNUMBER(SEARCH(公司查詢!$A$4,完整內容收錄!C103))),1,0))</f>
        <v/>
      </c>
      <c r="C103">
        <f>B103+C102</f>
        <v/>
      </c>
    </row>
    <row r="104">
      <c r="B104">
        <f>IF(公司查詢!$A$4="",0,IF(OR(完整內容收錄!D104=公司查詢!$A$4,ISNUMBER(SEARCH(公司查詢!$A$4,完整內容收錄!C104))),1,0))</f>
        <v/>
      </c>
      <c r="C104">
        <f>B104+C103</f>
        <v/>
      </c>
    </row>
    <row r="105">
      <c r="B105">
        <f>IF(公司查詢!$A$4="",0,IF(OR(完整內容收錄!D105=公司查詢!$A$4,ISNUMBER(SEARCH(公司查詢!$A$4,完整內容收錄!C105))),1,0))</f>
        <v/>
      </c>
      <c r="C105">
        <f>B105+C104</f>
        <v/>
      </c>
    </row>
    <row r="106">
      <c r="B106">
        <f>IF(公司查詢!$A$4="",0,IF(OR(完整內容收錄!D106=公司查詢!$A$4,ISNUMBER(SEARCH(公司查詢!$A$4,完整內容收錄!C106))),1,0))</f>
        <v/>
      </c>
      <c r="C106">
        <f>B106+C105</f>
        <v/>
      </c>
    </row>
    <row r="107">
      <c r="B107">
        <f>IF(公司查詢!$A$4="",0,IF(OR(完整內容收錄!D107=公司查詢!$A$4,ISNUMBER(SEARCH(公司查詢!$A$4,完整內容收錄!C107))),1,0))</f>
        <v/>
      </c>
      <c r="C107">
        <f>B107+C106</f>
        <v/>
      </c>
    </row>
    <row r="108">
      <c r="B108">
        <f>IF(公司查詢!$A$4="",0,IF(OR(完整內容收錄!D108=公司查詢!$A$4,ISNUMBER(SEARCH(公司查詢!$A$4,完整內容收錄!C108))),1,0))</f>
        <v/>
      </c>
      <c r="C108">
        <f>B108+C107</f>
        <v/>
      </c>
    </row>
    <row r="109">
      <c r="B109">
        <f>IF(公司查詢!$A$4="",0,IF(OR(完整內容收錄!D109=公司查詢!$A$4,ISNUMBER(SEARCH(公司查詢!$A$4,完整內容收錄!C109))),1,0))</f>
        <v/>
      </c>
      <c r="C109">
        <f>B109+C108</f>
        <v/>
      </c>
    </row>
    <row r="110">
      <c r="B110">
        <f>IF(公司查詢!$A$4="",0,IF(OR(完整內容收錄!D110=公司查詢!$A$4,ISNUMBER(SEARCH(公司查詢!$A$4,完整內容收錄!C110))),1,0))</f>
        <v/>
      </c>
      <c r="C110">
        <f>B110+C109</f>
        <v/>
      </c>
    </row>
    <row r="111">
      <c r="B111">
        <f>IF(公司查詢!$A$4="",0,IF(OR(完整內容收錄!D111=公司查詢!$A$4,ISNUMBER(SEARCH(公司查詢!$A$4,完整內容收錄!C111))),1,0))</f>
        <v/>
      </c>
      <c r="C111">
        <f>B111+C110</f>
        <v/>
      </c>
    </row>
    <row r="112">
      <c r="B112">
        <f>IF(公司查詢!$A$4="",0,IF(OR(完整內容收錄!D112=公司查詢!$A$4,ISNUMBER(SEARCH(公司查詢!$A$4,完整內容收錄!C112))),1,0))</f>
        <v/>
      </c>
      <c r="C112">
        <f>B112+C111</f>
        <v/>
      </c>
    </row>
    <row r="113">
      <c r="B113">
        <f>IF(公司查詢!$A$4="",0,IF(OR(完整內容收錄!D113=公司查詢!$A$4,ISNUMBER(SEARCH(公司查詢!$A$4,完整內容收錄!C113))),1,0))</f>
        <v/>
      </c>
      <c r="C113">
        <f>B113+C112</f>
        <v/>
      </c>
    </row>
    <row r="114">
      <c r="B114">
        <f>IF(公司查詢!$A$4="",0,IF(OR(完整內容收錄!D114=公司查詢!$A$4,ISNUMBER(SEARCH(公司查詢!$A$4,完整內容收錄!C114))),1,0))</f>
        <v/>
      </c>
      <c r="C114">
        <f>B114+C113</f>
        <v/>
      </c>
    </row>
    <row r="115">
      <c r="B115">
        <f>IF(公司查詢!$A$4="",0,IF(OR(完整內容收錄!D115=公司查詢!$A$4,ISNUMBER(SEARCH(公司查詢!$A$4,完整內容收錄!C115))),1,0))</f>
        <v/>
      </c>
      <c r="C115">
        <f>B115+C114</f>
        <v/>
      </c>
    </row>
    <row r="116">
      <c r="B116">
        <f>IF(公司查詢!$A$4="",0,IF(OR(完整內容收錄!D116=公司查詢!$A$4,ISNUMBER(SEARCH(公司查詢!$A$4,完整內容收錄!C116))),1,0))</f>
        <v/>
      </c>
      <c r="C116">
        <f>B116+C115</f>
        <v/>
      </c>
    </row>
    <row r="117">
      <c r="B117">
        <f>IF(公司查詢!$A$4="",0,IF(OR(完整內容收錄!D117=公司查詢!$A$4,ISNUMBER(SEARCH(公司查詢!$A$4,完整內容收錄!C117))),1,0))</f>
        <v/>
      </c>
      <c r="C117">
        <f>B117+C116</f>
        <v/>
      </c>
    </row>
    <row r="118">
      <c r="B118">
        <f>IF(公司查詢!$A$4="",0,IF(OR(完整內容收錄!D118=公司查詢!$A$4,ISNUMBER(SEARCH(公司查詢!$A$4,完整內容收錄!C118))),1,0))</f>
        <v/>
      </c>
      <c r="C118">
        <f>B118+C117</f>
        <v/>
      </c>
    </row>
    <row r="119">
      <c r="B119">
        <f>IF(公司查詢!$A$4="",0,IF(OR(完整內容收錄!D119=公司查詢!$A$4,ISNUMBER(SEARCH(公司查詢!$A$4,完整內容收錄!C119))),1,0))</f>
        <v/>
      </c>
      <c r="C119">
        <f>B119+C118</f>
        <v/>
      </c>
    </row>
    <row r="120">
      <c r="B120">
        <f>IF(公司查詢!$A$4="",0,IF(OR(完整內容收錄!D120=公司查詢!$A$4,ISNUMBER(SEARCH(公司查詢!$A$4,完整內容收錄!C120))),1,0))</f>
        <v/>
      </c>
      <c r="C120">
        <f>B120+C119</f>
        <v/>
      </c>
    </row>
    <row r="121">
      <c r="B121">
        <f>IF(公司查詢!$A$4="",0,IF(OR(完整內容收錄!D121=公司查詢!$A$4,ISNUMBER(SEARCH(公司查詢!$A$4,完整內容收錄!C121))),1,0))</f>
        <v/>
      </c>
      <c r="C121">
        <f>B121+C120</f>
        <v/>
      </c>
    </row>
    <row r="122">
      <c r="B122">
        <f>IF(公司查詢!$A$4="",0,IF(OR(完整內容收錄!D122=公司查詢!$A$4,ISNUMBER(SEARCH(公司查詢!$A$4,完整內容收錄!C122))),1,0))</f>
        <v/>
      </c>
      <c r="C122">
        <f>B122+C121</f>
        <v/>
      </c>
    </row>
    <row r="123">
      <c r="B123">
        <f>IF(公司查詢!$A$4="",0,IF(OR(完整內容收錄!D123=公司查詢!$A$4,ISNUMBER(SEARCH(公司查詢!$A$4,完整內容收錄!C123))),1,0))</f>
        <v/>
      </c>
      <c r="C123">
        <f>B123+C122</f>
        <v/>
      </c>
    </row>
    <row r="124">
      <c r="B124">
        <f>IF(公司查詢!$A$4="",0,IF(OR(完整內容收錄!D124=公司查詢!$A$4,ISNUMBER(SEARCH(公司查詢!$A$4,完整內容收錄!C124))),1,0))</f>
        <v/>
      </c>
      <c r="C124">
        <f>B124+C123</f>
        <v/>
      </c>
    </row>
    <row r="125">
      <c r="B125">
        <f>IF(公司查詢!$A$4="",0,IF(OR(完整內容收錄!D125=公司查詢!$A$4,ISNUMBER(SEARCH(公司查詢!$A$4,完整內容收錄!C125))),1,0))</f>
        <v/>
      </c>
      <c r="C125">
        <f>B125+C124</f>
        <v/>
      </c>
    </row>
    <row r="126">
      <c r="B126">
        <f>IF(公司查詢!$A$4="",0,IF(OR(完整內容收錄!D126=公司查詢!$A$4,ISNUMBER(SEARCH(公司查詢!$A$4,完整內容收錄!C126))),1,0))</f>
        <v/>
      </c>
      <c r="C126">
        <f>B126+C125</f>
        <v/>
      </c>
    </row>
    <row r="127">
      <c r="B127">
        <f>IF(公司查詢!$A$4="",0,IF(OR(完整內容收錄!D127=公司查詢!$A$4,ISNUMBER(SEARCH(公司查詢!$A$4,完整內容收錄!C127))),1,0))</f>
        <v/>
      </c>
      <c r="C127">
        <f>B127+C126</f>
        <v/>
      </c>
    </row>
    <row r="128">
      <c r="B128">
        <f>IF(公司查詢!$A$4="",0,IF(OR(完整內容收錄!D128=公司查詢!$A$4,ISNUMBER(SEARCH(公司查詢!$A$4,完整內容收錄!C128))),1,0))</f>
        <v/>
      </c>
      <c r="C128">
        <f>B128+C127</f>
        <v/>
      </c>
    </row>
    <row r="129">
      <c r="B129">
        <f>IF(公司查詢!$A$4="",0,IF(OR(完整內容收錄!D129=公司查詢!$A$4,ISNUMBER(SEARCH(公司查詢!$A$4,完整內容收錄!C129))),1,0))</f>
        <v/>
      </c>
      <c r="C129">
        <f>B129+C128</f>
        <v/>
      </c>
    </row>
    <row r="130">
      <c r="B130">
        <f>IF(公司查詢!$A$4="",0,IF(OR(完整內容收錄!D130=公司查詢!$A$4,ISNUMBER(SEARCH(公司查詢!$A$4,完整內容收錄!C130))),1,0))</f>
        <v/>
      </c>
      <c r="C130">
        <f>B130+C129</f>
        <v/>
      </c>
    </row>
    <row r="131">
      <c r="B131">
        <f>IF(公司查詢!$A$4="",0,IF(OR(完整內容收錄!D131=公司查詢!$A$4,ISNUMBER(SEARCH(公司查詢!$A$4,完整內容收錄!C131))),1,0))</f>
        <v/>
      </c>
      <c r="C131">
        <f>B131+C130</f>
        <v/>
      </c>
    </row>
    <row r="132">
      <c r="B132">
        <f>IF(公司查詢!$A$4="",0,IF(OR(完整內容收錄!D132=公司查詢!$A$4,ISNUMBER(SEARCH(公司查詢!$A$4,完整內容收錄!C132))),1,0))</f>
        <v/>
      </c>
      <c r="C132">
        <f>B132+C131</f>
        <v/>
      </c>
    </row>
    <row r="133">
      <c r="B133">
        <f>IF(公司查詢!$A$4="",0,IF(OR(完整內容收錄!D133=公司查詢!$A$4,ISNUMBER(SEARCH(公司查詢!$A$4,完整內容收錄!C133))),1,0))</f>
        <v/>
      </c>
      <c r="C133">
        <f>B133+C132</f>
        <v/>
      </c>
    </row>
    <row r="134">
      <c r="B134">
        <f>IF(公司查詢!$A$4="",0,IF(OR(完整內容收錄!D134=公司查詢!$A$4,ISNUMBER(SEARCH(公司查詢!$A$4,完整內容收錄!C134))),1,0))</f>
        <v/>
      </c>
      <c r="C134">
        <f>B134+C133</f>
        <v/>
      </c>
    </row>
    <row r="135">
      <c r="B135">
        <f>IF(公司查詢!$A$4="",0,IF(OR(完整內容收錄!D135=公司查詢!$A$4,ISNUMBER(SEARCH(公司查詢!$A$4,完整內容收錄!C135))),1,0))</f>
        <v/>
      </c>
      <c r="C135">
        <f>B135+C134</f>
        <v/>
      </c>
    </row>
    <row r="136">
      <c r="B136">
        <f>IF(公司查詢!$A$4="",0,IF(OR(完整內容收錄!D136=公司查詢!$A$4,ISNUMBER(SEARCH(公司查詢!$A$4,完整內容收錄!C136))),1,0))</f>
        <v/>
      </c>
      <c r="C136">
        <f>B136+C135</f>
        <v/>
      </c>
    </row>
    <row r="137">
      <c r="B137">
        <f>IF(公司查詢!$A$4="",0,IF(OR(完整內容收錄!D137=公司查詢!$A$4,ISNUMBER(SEARCH(公司查詢!$A$4,完整內容收錄!C137))),1,0))</f>
        <v/>
      </c>
      <c r="C137">
        <f>B137+C136</f>
        <v/>
      </c>
    </row>
    <row r="138">
      <c r="B138">
        <f>IF(公司查詢!$A$4="",0,IF(OR(完整內容收錄!D138=公司查詢!$A$4,ISNUMBER(SEARCH(公司查詢!$A$4,完整內容收錄!C138))),1,0))</f>
        <v/>
      </c>
      <c r="C138">
        <f>B138+C137</f>
        <v/>
      </c>
    </row>
    <row r="139">
      <c r="B139">
        <f>IF(公司查詢!$A$4="",0,IF(OR(完整內容收錄!D139=公司查詢!$A$4,ISNUMBER(SEARCH(公司查詢!$A$4,完整內容收錄!C139))),1,0))</f>
        <v/>
      </c>
      <c r="C139">
        <f>B139+C138</f>
        <v/>
      </c>
    </row>
    <row r="140">
      <c r="B140">
        <f>IF(公司查詢!$A$4="",0,IF(OR(完整內容收錄!D140=公司查詢!$A$4,ISNUMBER(SEARCH(公司查詢!$A$4,完整內容收錄!C140))),1,0))</f>
        <v/>
      </c>
      <c r="C140">
        <f>B140+C139</f>
        <v/>
      </c>
    </row>
    <row r="141">
      <c r="B141">
        <f>IF(公司查詢!$A$4="",0,IF(OR(完整內容收錄!D141=公司查詢!$A$4,ISNUMBER(SEARCH(公司查詢!$A$4,完整內容收錄!C141))),1,0))</f>
        <v/>
      </c>
      <c r="C141">
        <f>B141+C140</f>
        <v/>
      </c>
    </row>
    <row r="142">
      <c r="B142">
        <f>IF(公司查詢!$A$4="",0,IF(OR(完整內容收錄!D142=公司查詢!$A$4,ISNUMBER(SEARCH(公司查詢!$A$4,完整內容收錄!C142))),1,0))</f>
        <v/>
      </c>
      <c r="C142">
        <f>B142+C141</f>
        <v/>
      </c>
    </row>
    <row r="143">
      <c r="B143">
        <f>IF(公司查詢!$A$4="",0,IF(OR(完整內容收錄!D143=公司查詢!$A$4,ISNUMBER(SEARCH(公司查詢!$A$4,完整內容收錄!C143))),1,0))</f>
        <v/>
      </c>
      <c r="C143">
        <f>B143+C142</f>
        <v/>
      </c>
    </row>
    <row r="144">
      <c r="B144">
        <f>IF(公司查詢!$A$4="",0,IF(OR(完整內容收錄!D144=公司查詢!$A$4,ISNUMBER(SEARCH(公司查詢!$A$4,完整內容收錄!C144))),1,0))</f>
        <v/>
      </c>
      <c r="C144">
        <f>B144+C143</f>
        <v/>
      </c>
    </row>
    <row r="145">
      <c r="B145">
        <f>IF(公司查詢!$A$4="",0,IF(OR(完整內容收錄!D145=公司查詢!$A$4,ISNUMBER(SEARCH(公司查詢!$A$4,完整內容收錄!C145))),1,0))</f>
        <v/>
      </c>
      <c r="C145">
        <f>B145+C144</f>
        <v/>
      </c>
    </row>
    <row r="146">
      <c r="B146">
        <f>IF(公司查詢!$A$4="",0,IF(OR(完整內容收錄!D146=公司查詢!$A$4,ISNUMBER(SEARCH(公司查詢!$A$4,完整內容收錄!C146))),1,0))</f>
        <v/>
      </c>
      <c r="C146">
        <f>B146+C145</f>
        <v/>
      </c>
    </row>
    <row r="147">
      <c r="B147">
        <f>IF(公司查詢!$A$4="",0,IF(OR(完整內容收錄!D147=公司查詢!$A$4,ISNUMBER(SEARCH(公司查詢!$A$4,完整內容收錄!C147))),1,0))</f>
        <v/>
      </c>
      <c r="C147">
        <f>B147+C146</f>
        <v/>
      </c>
    </row>
    <row r="148">
      <c r="B148">
        <f>IF(公司查詢!$A$4="",0,IF(OR(完整內容收錄!D148=公司查詢!$A$4,ISNUMBER(SEARCH(公司查詢!$A$4,完整內容收錄!C148))),1,0))</f>
        <v/>
      </c>
      <c r="C148">
        <f>B148+C147</f>
        <v/>
      </c>
    </row>
    <row r="149">
      <c r="B149">
        <f>IF(公司查詢!$A$4="",0,IF(OR(完整內容收錄!D149=公司查詢!$A$4,ISNUMBER(SEARCH(公司查詢!$A$4,完整內容收錄!C149))),1,0))</f>
        <v/>
      </c>
      <c r="C149">
        <f>B149+C148</f>
        <v/>
      </c>
    </row>
    <row r="150">
      <c r="B150">
        <f>IF(公司查詢!$A$4="",0,IF(OR(完整內容收錄!D150=公司查詢!$A$4,ISNUMBER(SEARCH(公司查詢!$A$4,完整內容收錄!C150))),1,0))</f>
        <v/>
      </c>
      <c r="C150">
        <f>B150+C149</f>
        <v/>
      </c>
    </row>
    <row r="151">
      <c r="B151">
        <f>IF(公司查詢!$A$4="",0,IF(OR(完整內容收錄!D151=公司查詢!$A$4,ISNUMBER(SEARCH(公司查詢!$A$4,完整內容收錄!C151))),1,0))</f>
        <v/>
      </c>
      <c r="C151">
        <f>B151+C150</f>
        <v/>
      </c>
    </row>
    <row r="152">
      <c r="B152">
        <f>IF(公司查詢!$A$4="",0,IF(OR(完整內容收錄!D152=公司查詢!$A$4,ISNUMBER(SEARCH(公司查詢!$A$4,完整內容收錄!C152))),1,0))</f>
        <v/>
      </c>
      <c r="C152">
        <f>B152+C151</f>
        <v/>
      </c>
    </row>
    <row r="153">
      <c r="B153">
        <f>IF(公司查詢!$A$4="",0,IF(OR(完整內容收錄!D153=公司查詢!$A$4,ISNUMBER(SEARCH(公司查詢!$A$4,完整內容收錄!C153))),1,0))</f>
        <v/>
      </c>
      <c r="C153">
        <f>B153+C152</f>
        <v/>
      </c>
    </row>
    <row r="154">
      <c r="B154">
        <f>IF(公司查詢!$A$4="",0,IF(OR(完整內容收錄!D154=公司查詢!$A$4,ISNUMBER(SEARCH(公司查詢!$A$4,完整內容收錄!C154))),1,0))</f>
        <v/>
      </c>
      <c r="C154">
        <f>B154+C153</f>
        <v/>
      </c>
    </row>
    <row r="155">
      <c r="B155">
        <f>IF(公司查詢!$A$4="",0,IF(OR(完整內容收錄!D155=公司查詢!$A$4,ISNUMBER(SEARCH(公司查詢!$A$4,完整內容收錄!C155))),1,0))</f>
        <v/>
      </c>
      <c r="C155">
        <f>B155+C154</f>
        <v/>
      </c>
    </row>
    <row r="156">
      <c r="B156">
        <f>IF(公司查詢!$A$4="",0,IF(OR(完整內容收錄!D156=公司查詢!$A$4,ISNUMBER(SEARCH(公司查詢!$A$4,完整內容收錄!C156))),1,0))</f>
        <v/>
      </c>
      <c r="C156">
        <f>B156+C155</f>
        <v/>
      </c>
    </row>
    <row r="157">
      <c r="B157">
        <f>IF(公司查詢!$A$4="",0,IF(OR(完整內容收錄!D157=公司查詢!$A$4,ISNUMBER(SEARCH(公司查詢!$A$4,完整內容收錄!C157))),1,0))</f>
        <v/>
      </c>
      <c r="C157">
        <f>B157+C156</f>
        <v/>
      </c>
    </row>
    <row r="158">
      <c r="B158">
        <f>IF(公司查詢!$A$4="",0,IF(OR(完整內容收錄!D158=公司查詢!$A$4,ISNUMBER(SEARCH(公司查詢!$A$4,完整內容收錄!C158))),1,0))</f>
        <v/>
      </c>
      <c r="C158">
        <f>B158+C157</f>
        <v/>
      </c>
    </row>
    <row r="159">
      <c r="B159">
        <f>IF(公司查詢!$A$4="",0,IF(OR(完整內容收錄!D159=公司查詢!$A$4,ISNUMBER(SEARCH(公司查詢!$A$4,完整內容收錄!C159))),1,0))</f>
        <v/>
      </c>
      <c r="C159">
        <f>B159+C158</f>
        <v/>
      </c>
    </row>
    <row r="160">
      <c r="B160">
        <f>IF(公司查詢!$A$4="",0,IF(OR(完整內容收錄!D160=公司查詢!$A$4,ISNUMBER(SEARCH(公司查詢!$A$4,完整內容收錄!C160))),1,0))</f>
        <v/>
      </c>
      <c r="C160">
        <f>B160+C159</f>
        <v/>
      </c>
    </row>
    <row r="161">
      <c r="B161">
        <f>IF(公司查詢!$A$4="",0,IF(OR(完整內容收錄!D161=公司查詢!$A$4,ISNUMBER(SEARCH(公司查詢!$A$4,完整內容收錄!C161))),1,0))</f>
        <v/>
      </c>
      <c r="C161">
        <f>B161+C160</f>
        <v/>
      </c>
    </row>
    <row r="162">
      <c r="B162">
        <f>IF(公司查詢!$A$4="",0,IF(OR(完整內容收錄!D162=公司查詢!$A$4,ISNUMBER(SEARCH(公司查詢!$A$4,完整內容收錄!C162))),1,0))</f>
        <v/>
      </c>
      <c r="C162">
        <f>B162+C161</f>
        <v/>
      </c>
    </row>
    <row r="163">
      <c r="B163">
        <f>IF(公司查詢!$A$4="",0,IF(OR(完整內容收錄!D163=公司查詢!$A$4,ISNUMBER(SEARCH(公司查詢!$A$4,完整內容收錄!C163))),1,0))</f>
        <v/>
      </c>
      <c r="C163">
        <f>B163+C162</f>
        <v/>
      </c>
    </row>
    <row r="164">
      <c r="B164">
        <f>IF(公司查詢!$A$4="",0,IF(OR(完整內容收錄!D164=公司查詢!$A$4,ISNUMBER(SEARCH(公司查詢!$A$4,完整內容收錄!C164))),1,0))</f>
        <v/>
      </c>
      <c r="C164">
        <f>B164+C163</f>
        <v/>
      </c>
    </row>
    <row r="165">
      <c r="B165">
        <f>IF(公司查詢!$A$4="",0,IF(OR(完整內容收錄!D165=公司查詢!$A$4,ISNUMBER(SEARCH(公司查詢!$A$4,完整內容收錄!C165))),1,0))</f>
        <v/>
      </c>
      <c r="C165">
        <f>B165+C164</f>
        <v/>
      </c>
    </row>
    <row r="166">
      <c r="B166">
        <f>IF(公司查詢!$A$4="",0,IF(OR(完整內容收錄!D166=公司查詢!$A$4,ISNUMBER(SEARCH(公司查詢!$A$4,完整內容收錄!C166))),1,0))</f>
        <v/>
      </c>
      <c r="C166">
        <f>B166+C165</f>
        <v/>
      </c>
    </row>
    <row r="167">
      <c r="B167">
        <f>IF(公司查詢!$A$4="",0,IF(OR(完整內容收錄!D167=公司查詢!$A$4,ISNUMBER(SEARCH(公司查詢!$A$4,完整內容收錄!C167))),1,0))</f>
        <v/>
      </c>
      <c r="C167">
        <f>B167+C166</f>
        <v/>
      </c>
    </row>
    <row r="168">
      <c r="B168">
        <f>IF(公司查詢!$A$4="",0,IF(OR(完整內容收錄!D168=公司查詢!$A$4,ISNUMBER(SEARCH(公司查詢!$A$4,完整內容收錄!C168))),1,0))</f>
        <v/>
      </c>
      <c r="C168">
        <f>B168+C167</f>
        <v/>
      </c>
    </row>
    <row r="169">
      <c r="B169">
        <f>IF(公司查詢!$A$4="",0,IF(OR(完整內容收錄!D169=公司查詢!$A$4,ISNUMBER(SEARCH(公司查詢!$A$4,完整內容收錄!C169))),1,0))</f>
        <v/>
      </c>
      <c r="C169">
        <f>B169+C168</f>
        <v/>
      </c>
    </row>
    <row r="170">
      <c r="B170">
        <f>IF(公司查詢!$A$4="",0,IF(OR(完整內容收錄!D170=公司查詢!$A$4,ISNUMBER(SEARCH(公司查詢!$A$4,完整內容收錄!C170))),1,0))</f>
        <v/>
      </c>
      <c r="C170">
        <f>B170+C169</f>
        <v/>
      </c>
    </row>
    <row r="171">
      <c r="B171">
        <f>IF(公司查詢!$A$4="",0,IF(OR(完整內容收錄!D171=公司查詢!$A$4,ISNUMBER(SEARCH(公司查詢!$A$4,完整內容收錄!C171))),1,0))</f>
        <v/>
      </c>
      <c r="C171">
        <f>B171+C170</f>
        <v/>
      </c>
    </row>
    <row r="172">
      <c r="B172">
        <f>IF(公司查詢!$A$4="",0,IF(OR(完整內容收錄!D172=公司查詢!$A$4,ISNUMBER(SEARCH(公司查詢!$A$4,完整內容收錄!C172))),1,0))</f>
        <v/>
      </c>
      <c r="C172">
        <f>B172+C171</f>
        <v/>
      </c>
    </row>
    <row r="173">
      <c r="B173">
        <f>IF(公司查詢!$A$4="",0,IF(OR(完整內容收錄!D173=公司查詢!$A$4,ISNUMBER(SEARCH(公司查詢!$A$4,完整內容收錄!C173))),1,0))</f>
        <v/>
      </c>
      <c r="C173">
        <f>B173+C172</f>
        <v/>
      </c>
    </row>
    <row r="174">
      <c r="B174">
        <f>IF(公司查詢!$A$4="",0,IF(OR(完整內容收錄!D174=公司查詢!$A$4,ISNUMBER(SEARCH(公司查詢!$A$4,完整內容收錄!C174))),1,0))</f>
        <v/>
      </c>
      <c r="C174">
        <f>B174+C173</f>
        <v/>
      </c>
    </row>
    <row r="175">
      <c r="B175">
        <f>IF(公司查詢!$A$4="",0,IF(OR(完整內容收錄!D175=公司查詢!$A$4,ISNUMBER(SEARCH(公司查詢!$A$4,完整內容收錄!C175))),1,0))</f>
        <v/>
      </c>
      <c r="C175">
        <f>B175+C174</f>
        <v/>
      </c>
    </row>
    <row r="176">
      <c r="B176">
        <f>IF(公司查詢!$A$4="",0,IF(OR(完整內容收錄!D176=公司查詢!$A$4,ISNUMBER(SEARCH(公司查詢!$A$4,完整內容收錄!C176))),1,0))</f>
        <v/>
      </c>
      <c r="C176">
        <f>B176+C175</f>
        <v/>
      </c>
    </row>
    <row r="177">
      <c r="B177">
        <f>IF(公司查詢!$A$4="",0,IF(OR(完整內容收錄!D177=公司查詢!$A$4,ISNUMBER(SEARCH(公司查詢!$A$4,完整內容收錄!C177))),1,0))</f>
        <v/>
      </c>
      <c r="C177">
        <f>B177+C176</f>
        <v/>
      </c>
    </row>
    <row r="178">
      <c r="B178">
        <f>IF(公司查詢!$A$4="",0,IF(OR(完整內容收錄!D178=公司查詢!$A$4,ISNUMBER(SEARCH(公司查詢!$A$4,完整內容收錄!C178))),1,0))</f>
        <v/>
      </c>
      <c r="C178">
        <f>B178+C177</f>
        <v/>
      </c>
    </row>
    <row r="179">
      <c r="B179">
        <f>IF(公司查詢!$A$4="",0,IF(OR(完整內容收錄!D179=公司查詢!$A$4,ISNUMBER(SEARCH(公司查詢!$A$4,完整內容收錄!C179))),1,0))</f>
        <v/>
      </c>
      <c r="C179">
        <f>B179+C178</f>
        <v/>
      </c>
    </row>
    <row r="180">
      <c r="B180">
        <f>IF(公司查詢!$A$4="",0,IF(OR(完整內容收錄!D180=公司查詢!$A$4,ISNUMBER(SEARCH(公司查詢!$A$4,完整內容收錄!C180))),1,0))</f>
        <v/>
      </c>
      <c r="C180">
        <f>B180+C179</f>
        <v/>
      </c>
    </row>
    <row r="181">
      <c r="B181">
        <f>IF(公司查詢!$A$4="",0,IF(OR(完整內容收錄!D181=公司查詢!$A$4,ISNUMBER(SEARCH(公司查詢!$A$4,完整內容收錄!C181))),1,0))</f>
        <v/>
      </c>
      <c r="C181">
        <f>B181+C180</f>
        <v/>
      </c>
    </row>
    <row r="182">
      <c r="B182">
        <f>IF(公司查詢!$A$4="",0,IF(OR(完整內容收錄!D182=公司查詢!$A$4,ISNUMBER(SEARCH(公司查詢!$A$4,完整內容收錄!C182))),1,0))</f>
        <v/>
      </c>
      <c r="C182">
        <f>B182+C181</f>
        <v/>
      </c>
    </row>
    <row r="183">
      <c r="B183">
        <f>IF(公司查詢!$A$4="",0,IF(OR(完整內容收錄!D183=公司查詢!$A$4,ISNUMBER(SEARCH(公司查詢!$A$4,完整內容收錄!C183))),1,0))</f>
        <v/>
      </c>
      <c r="C183">
        <f>B183+C182</f>
        <v/>
      </c>
    </row>
    <row r="184">
      <c r="B184">
        <f>IF(公司查詢!$A$4="",0,IF(OR(完整內容收錄!D184=公司查詢!$A$4,ISNUMBER(SEARCH(公司查詢!$A$4,完整內容收錄!C184))),1,0))</f>
        <v/>
      </c>
      <c r="C184">
        <f>B184+C183</f>
        <v/>
      </c>
    </row>
    <row r="185">
      <c r="B185">
        <f>IF(公司查詢!$A$4="",0,IF(OR(完整內容收錄!D185=公司查詢!$A$4,ISNUMBER(SEARCH(公司查詢!$A$4,完整內容收錄!C185))),1,0))</f>
        <v/>
      </c>
      <c r="C185">
        <f>B185+C184</f>
        <v/>
      </c>
    </row>
    <row r="186">
      <c r="B186">
        <f>IF(公司查詢!$A$4="",0,IF(OR(完整內容收錄!D186=公司查詢!$A$4,ISNUMBER(SEARCH(公司查詢!$A$4,完整內容收錄!C186))),1,0))</f>
        <v/>
      </c>
      <c r="C186">
        <f>B186+C185</f>
        <v/>
      </c>
    </row>
    <row r="187">
      <c r="B187">
        <f>IF(公司查詢!$A$4="",0,IF(OR(完整內容收錄!D187=公司查詢!$A$4,ISNUMBER(SEARCH(公司查詢!$A$4,完整內容收錄!C187))),1,0))</f>
        <v/>
      </c>
      <c r="C187">
        <f>B187+C186</f>
        <v/>
      </c>
    </row>
    <row r="188">
      <c r="B188">
        <f>IF(公司查詢!$A$4="",0,IF(OR(完整內容收錄!D188=公司查詢!$A$4,ISNUMBER(SEARCH(公司查詢!$A$4,完整內容收錄!C188))),1,0))</f>
        <v/>
      </c>
      <c r="C188">
        <f>B188+C187</f>
        <v/>
      </c>
    </row>
    <row r="189">
      <c r="B189">
        <f>IF(公司查詢!$A$4="",0,IF(OR(完整內容收錄!D189=公司查詢!$A$4,ISNUMBER(SEARCH(公司查詢!$A$4,完整內容收錄!C189))),1,0))</f>
        <v/>
      </c>
      <c r="C189">
        <f>B189+C188</f>
        <v/>
      </c>
    </row>
    <row r="190">
      <c r="B190">
        <f>IF(公司查詢!$A$4="",0,IF(OR(完整內容收錄!D190=公司查詢!$A$4,ISNUMBER(SEARCH(公司查詢!$A$4,完整內容收錄!C190))),1,0))</f>
        <v/>
      </c>
      <c r="C190">
        <f>B190+C189</f>
        <v/>
      </c>
    </row>
    <row r="191">
      <c r="B191">
        <f>IF(公司查詢!$A$4="",0,IF(OR(完整內容收錄!D191=公司查詢!$A$4,ISNUMBER(SEARCH(公司查詢!$A$4,完整內容收錄!C191))),1,0))</f>
        <v/>
      </c>
      <c r="C191">
        <f>B191+C190</f>
        <v/>
      </c>
    </row>
    <row r="192">
      <c r="B192">
        <f>IF(公司查詢!$A$4="",0,IF(OR(完整內容收錄!D192=公司查詢!$A$4,ISNUMBER(SEARCH(公司查詢!$A$4,完整內容收錄!C192))),1,0))</f>
        <v/>
      </c>
      <c r="C192">
        <f>B192+C191</f>
        <v/>
      </c>
    </row>
    <row r="193">
      <c r="B193">
        <f>IF(公司查詢!$A$4="",0,IF(OR(完整內容收錄!D193=公司查詢!$A$4,ISNUMBER(SEARCH(公司查詢!$A$4,完整內容收錄!C193))),1,0))</f>
        <v/>
      </c>
      <c r="C193">
        <f>B193+C192</f>
        <v/>
      </c>
    </row>
    <row r="194">
      <c r="B194">
        <f>IF(公司查詢!$A$4="",0,IF(OR(完整內容收錄!D194=公司查詢!$A$4,ISNUMBER(SEARCH(公司查詢!$A$4,完整內容收錄!C194))),1,0))</f>
        <v/>
      </c>
      <c r="C194">
        <f>B194+C193</f>
        <v/>
      </c>
    </row>
    <row r="195">
      <c r="B195">
        <f>IF(公司查詢!$A$4="",0,IF(OR(完整內容收錄!D195=公司查詢!$A$4,ISNUMBER(SEARCH(公司查詢!$A$4,完整內容收錄!C195))),1,0))</f>
        <v/>
      </c>
      <c r="C195">
        <f>B195+C194</f>
        <v/>
      </c>
    </row>
    <row r="196">
      <c r="B196">
        <f>IF(公司查詢!$A$4="",0,IF(OR(完整內容收錄!D196=公司查詢!$A$4,ISNUMBER(SEARCH(公司查詢!$A$4,完整內容收錄!C196))),1,0))</f>
        <v/>
      </c>
      <c r="C196">
        <f>B196+C195</f>
        <v/>
      </c>
    </row>
    <row r="197">
      <c r="B197">
        <f>IF(公司查詢!$A$4="",0,IF(OR(完整內容收錄!D197=公司查詢!$A$4,ISNUMBER(SEARCH(公司查詢!$A$4,完整內容收錄!C197))),1,0))</f>
        <v/>
      </c>
      <c r="C197">
        <f>B197+C196</f>
        <v/>
      </c>
    </row>
    <row r="198">
      <c r="B198">
        <f>IF(公司查詢!$A$4="",0,IF(OR(完整內容收錄!D198=公司查詢!$A$4,ISNUMBER(SEARCH(公司查詢!$A$4,完整內容收錄!C198))),1,0))</f>
        <v/>
      </c>
      <c r="C198">
        <f>B198+C197</f>
        <v/>
      </c>
    </row>
    <row r="199">
      <c r="B199">
        <f>IF(公司查詢!$A$4="",0,IF(OR(完整內容收錄!D199=公司查詢!$A$4,ISNUMBER(SEARCH(公司查詢!$A$4,完整內容收錄!C199))),1,0))</f>
        <v/>
      </c>
      <c r="C199">
        <f>B199+C198</f>
        <v/>
      </c>
    </row>
    <row r="200">
      <c r="B200">
        <f>IF(公司查詢!$A$4="",0,IF(OR(完整內容收錄!D200=公司查詢!$A$4,ISNUMBER(SEARCH(公司查詢!$A$4,完整內容收錄!C200))),1,0))</f>
        <v/>
      </c>
      <c r="C200">
        <f>B200+C199</f>
        <v/>
      </c>
    </row>
    <row r="201">
      <c r="B201">
        <f>IF(公司查詢!$A$4="",0,IF(OR(完整內容收錄!D201=公司查詢!$A$4,ISNUMBER(SEARCH(公司查詢!$A$4,完整內容收錄!C201))),1,0))</f>
        <v/>
      </c>
      <c r="C201">
        <f>B201+C200</f>
        <v/>
      </c>
    </row>
    <row r="202">
      <c r="B202">
        <f>IF(公司查詢!$A$4="",0,IF(OR(完整內容收錄!D202=公司查詢!$A$4,ISNUMBER(SEARCH(公司查詢!$A$4,完整內容收錄!C202))),1,0))</f>
        <v/>
      </c>
      <c r="C202">
        <f>B202+C201</f>
        <v/>
      </c>
    </row>
    <row r="203">
      <c r="B203">
        <f>IF(公司查詢!$A$4="",0,IF(OR(完整內容收錄!D203=公司查詢!$A$4,ISNUMBER(SEARCH(公司查詢!$A$4,完整內容收錄!C203))),1,0))</f>
        <v/>
      </c>
      <c r="C203">
        <f>B203+C202</f>
        <v/>
      </c>
    </row>
    <row r="204">
      <c r="B204">
        <f>IF(公司查詢!$A$4="",0,IF(OR(完整內容收錄!D204=公司查詢!$A$4,ISNUMBER(SEARCH(公司查詢!$A$4,完整內容收錄!C204))),1,0))</f>
        <v/>
      </c>
      <c r="C204">
        <f>B204+C203</f>
        <v/>
      </c>
    </row>
    <row r="205">
      <c r="B205">
        <f>IF(公司查詢!$A$4="",0,IF(OR(完整內容收錄!D205=公司查詢!$A$4,ISNUMBER(SEARCH(公司查詢!$A$4,完整內容收錄!C205))),1,0))</f>
        <v/>
      </c>
      <c r="C205">
        <f>B205+C204</f>
        <v/>
      </c>
    </row>
    <row r="206">
      <c r="B206">
        <f>IF(公司查詢!$A$4="",0,IF(OR(完整內容收錄!D206=公司查詢!$A$4,ISNUMBER(SEARCH(公司查詢!$A$4,完整內容收錄!C206))),1,0))</f>
        <v/>
      </c>
      <c r="C206">
        <f>B206+C205</f>
        <v/>
      </c>
    </row>
    <row r="207">
      <c r="B207">
        <f>IF(公司查詢!$A$4="",0,IF(OR(完整內容收錄!D207=公司查詢!$A$4,ISNUMBER(SEARCH(公司查詢!$A$4,完整內容收錄!C207))),1,0))</f>
        <v/>
      </c>
      <c r="C207">
        <f>B207+C206</f>
        <v/>
      </c>
    </row>
    <row r="208">
      <c r="B208">
        <f>IF(公司查詢!$A$4="",0,IF(OR(完整內容收錄!D208=公司查詢!$A$4,ISNUMBER(SEARCH(公司查詢!$A$4,完整內容收錄!C208))),1,0))</f>
        <v/>
      </c>
      <c r="C208">
        <f>B208+C207</f>
        <v/>
      </c>
    </row>
    <row r="209">
      <c r="B209">
        <f>IF(公司查詢!$A$4="",0,IF(OR(完整內容收錄!D209=公司查詢!$A$4,ISNUMBER(SEARCH(公司查詢!$A$4,完整內容收錄!C209))),1,0))</f>
        <v/>
      </c>
      <c r="C209">
        <f>B209+C208</f>
        <v/>
      </c>
    </row>
    <row r="210">
      <c r="B210">
        <f>IF(公司查詢!$A$4="",0,IF(OR(完整內容收錄!D210=公司查詢!$A$4,ISNUMBER(SEARCH(公司查詢!$A$4,完整內容收錄!C210))),1,0))</f>
        <v/>
      </c>
      <c r="C210">
        <f>B210+C209</f>
        <v/>
      </c>
    </row>
    <row r="211">
      <c r="B211">
        <f>IF(公司查詢!$A$4="",0,IF(OR(完整內容收錄!D211=公司查詢!$A$4,ISNUMBER(SEARCH(公司查詢!$A$4,完整內容收錄!C211))),1,0))</f>
        <v/>
      </c>
      <c r="C211">
        <f>B211+C210</f>
        <v/>
      </c>
    </row>
    <row r="212">
      <c r="B212">
        <f>IF(公司查詢!$A$4="",0,IF(OR(完整內容收錄!D212=公司查詢!$A$4,ISNUMBER(SEARCH(公司查詢!$A$4,完整內容收錄!C212))),1,0))</f>
        <v/>
      </c>
      <c r="C212">
        <f>B212+C211</f>
        <v/>
      </c>
    </row>
    <row r="213">
      <c r="B213">
        <f>IF(公司查詢!$A$4="",0,IF(OR(完整內容收錄!D213=公司查詢!$A$4,ISNUMBER(SEARCH(公司查詢!$A$4,完整內容收錄!C213))),1,0))</f>
        <v/>
      </c>
      <c r="C213">
        <f>B213+C212</f>
        <v/>
      </c>
    </row>
    <row r="214">
      <c r="B214">
        <f>IF(公司查詢!$A$4="",0,IF(OR(完整內容收錄!D214=公司查詢!$A$4,ISNUMBER(SEARCH(公司查詢!$A$4,完整內容收錄!C214))),1,0))</f>
        <v/>
      </c>
      <c r="C214">
        <f>B214+C213</f>
        <v/>
      </c>
    </row>
    <row r="215">
      <c r="B215">
        <f>IF(公司查詢!$A$4="",0,IF(OR(完整內容收錄!D215=公司查詢!$A$4,ISNUMBER(SEARCH(公司查詢!$A$4,完整內容收錄!C215))),1,0))</f>
        <v/>
      </c>
      <c r="C215">
        <f>B215+C214</f>
        <v/>
      </c>
    </row>
    <row r="216">
      <c r="B216">
        <f>IF(公司查詢!$A$4="",0,IF(OR(完整內容收錄!D216=公司查詢!$A$4,ISNUMBER(SEARCH(公司查詢!$A$4,完整內容收錄!C216))),1,0))</f>
        <v/>
      </c>
      <c r="C216">
        <f>B216+C215</f>
        <v/>
      </c>
    </row>
    <row r="217">
      <c r="B217">
        <f>IF(公司查詢!$A$4="",0,IF(OR(完整內容收錄!D217=公司查詢!$A$4,ISNUMBER(SEARCH(公司查詢!$A$4,完整內容收錄!C217))),1,0))</f>
        <v/>
      </c>
      <c r="C217">
        <f>B217+C216</f>
        <v/>
      </c>
    </row>
    <row r="218">
      <c r="B218">
        <f>IF(公司查詢!$A$4="",0,IF(OR(完整內容收錄!D218=公司查詢!$A$4,ISNUMBER(SEARCH(公司查詢!$A$4,完整內容收錄!C218))),1,0))</f>
        <v/>
      </c>
      <c r="C218">
        <f>B218+C217</f>
        <v/>
      </c>
    </row>
    <row r="219">
      <c r="B219">
        <f>IF(公司查詢!$A$4="",0,IF(OR(完整內容收錄!D219=公司查詢!$A$4,ISNUMBER(SEARCH(公司查詢!$A$4,完整內容收錄!C219))),1,0))</f>
        <v/>
      </c>
      <c r="C219">
        <f>B219+C218</f>
        <v/>
      </c>
    </row>
    <row r="220">
      <c r="B220">
        <f>IF(公司查詢!$A$4="",0,IF(OR(完整內容收錄!D220=公司查詢!$A$4,ISNUMBER(SEARCH(公司查詢!$A$4,完整內容收錄!C220))),1,0))</f>
        <v/>
      </c>
      <c r="C220">
        <f>B220+C219</f>
        <v/>
      </c>
    </row>
    <row r="221">
      <c r="B221">
        <f>IF(公司查詢!$A$4="",0,IF(OR(完整內容收錄!D221=公司查詢!$A$4,ISNUMBER(SEARCH(公司查詢!$A$4,完整內容收錄!C221))),1,0))</f>
        <v/>
      </c>
      <c r="C221">
        <f>B221+C220</f>
        <v/>
      </c>
    </row>
    <row r="222">
      <c r="B222">
        <f>IF(公司查詢!$A$4="",0,IF(OR(完整內容收錄!D222=公司查詢!$A$4,ISNUMBER(SEARCH(公司查詢!$A$4,完整內容收錄!C222))),1,0))</f>
        <v/>
      </c>
      <c r="C222">
        <f>B222+C221</f>
        <v/>
      </c>
    </row>
    <row r="223">
      <c r="B223">
        <f>IF(公司查詢!$A$4="",0,IF(OR(完整內容收錄!D223=公司查詢!$A$4,ISNUMBER(SEARCH(公司查詢!$A$4,完整內容收錄!C223))),1,0))</f>
        <v/>
      </c>
      <c r="C223">
        <f>B223+C222</f>
        <v/>
      </c>
    </row>
    <row r="224">
      <c r="B224">
        <f>IF(公司查詢!$A$4="",0,IF(OR(完整內容收錄!D224=公司查詢!$A$4,ISNUMBER(SEARCH(公司查詢!$A$4,完整內容收錄!C224))),1,0))</f>
        <v/>
      </c>
      <c r="C224">
        <f>B224+C223</f>
        <v/>
      </c>
    </row>
    <row r="225">
      <c r="B225">
        <f>IF(公司查詢!$A$4="",0,IF(OR(完整內容收錄!D225=公司查詢!$A$4,ISNUMBER(SEARCH(公司查詢!$A$4,完整內容收錄!C225))),1,0))</f>
        <v/>
      </c>
      <c r="C225">
        <f>B225+C224</f>
        <v/>
      </c>
    </row>
    <row r="226">
      <c r="B226">
        <f>IF(公司查詢!$A$4="",0,IF(OR(完整內容收錄!D226=公司查詢!$A$4,ISNUMBER(SEARCH(公司查詢!$A$4,完整內容收錄!C226))),1,0))</f>
        <v/>
      </c>
      <c r="C226">
        <f>B226+C225</f>
        <v/>
      </c>
    </row>
    <row r="227">
      <c r="B227">
        <f>IF(公司查詢!$A$4="",0,IF(OR(完整內容收錄!D227=公司查詢!$A$4,ISNUMBER(SEARCH(公司查詢!$A$4,完整內容收錄!C227))),1,0))</f>
        <v/>
      </c>
      <c r="C227">
        <f>B227+C226</f>
        <v/>
      </c>
    </row>
    <row r="228">
      <c r="B228">
        <f>IF(公司查詢!$A$4="",0,IF(OR(完整內容收錄!D228=公司查詢!$A$4,ISNUMBER(SEARCH(公司查詢!$A$4,完整內容收錄!C228))),1,0))</f>
        <v/>
      </c>
      <c r="C228">
        <f>B228+C227</f>
        <v/>
      </c>
    </row>
    <row r="229">
      <c r="B229">
        <f>IF(公司查詢!$A$4="",0,IF(OR(完整內容收錄!D229=公司查詢!$A$4,ISNUMBER(SEARCH(公司查詢!$A$4,完整內容收錄!C229))),1,0))</f>
        <v/>
      </c>
      <c r="C229">
        <f>B229+C228</f>
        <v/>
      </c>
    </row>
    <row r="230">
      <c r="B230">
        <f>IF(公司查詢!$A$4="",0,IF(OR(完整內容收錄!D230=公司查詢!$A$4,ISNUMBER(SEARCH(公司查詢!$A$4,完整內容收錄!C230))),1,0))</f>
        <v/>
      </c>
      <c r="C230">
        <f>B230+C229</f>
        <v/>
      </c>
    </row>
    <row r="231">
      <c r="B231">
        <f>IF(公司查詢!$A$4="",0,IF(OR(完整內容收錄!D231=公司查詢!$A$4,ISNUMBER(SEARCH(公司查詢!$A$4,完整內容收錄!C231))),1,0))</f>
        <v/>
      </c>
      <c r="C231">
        <f>B231+C230</f>
        <v/>
      </c>
    </row>
    <row r="232">
      <c r="B232">
        <f>IF(公司查詢!$A$4="",0,IF(OR(完整內容收錄!D232=公司查詢!$A$4,ISNUMBER(SEARCH(公司查詢!$A$4,完整內容收錄!C232))),1,0))</f>
        <v/>
      </c>
      <c r="C232">
        <f>B232+C231</f>
        <v/>
      </c>
    </row>
    <row r="233">
      <c r="B233">
        <f>IF(公司查詢!$A$4="",0,IF(OR(完整內容收錄!D233=公司查詢!$A$4,ISNUMBER(SEARCH(公司查詢!$A$4,完整內容收錄!C233))),1,0))</f>
        <v/>
      </c>
      <c r="C233">
        <f>B233+C232</f>
        <v/>
      </c>
    </row>
    <row r="234">
      <c r="B234">
        <f>IF(公司查詢!$A$4="",0,IF(OR(完整內容收錄!D234=公司查詢!$A$4,ISNUMBER(SEARCH(公司查詢!$A$4,完整內容收錄!C234))),1,0))</f>
        <v/>
      </c>
      <c r="C234">
        <f>B234+C233</f>
        <v/>
      </c>
    </row>
    <row r="235">
      <c r="B235">
        <f>IF(公司查詢!$A$4="",0,IF(OR(完整內容收錄!D235=公司查詢!$A$4,ISNUMBER(SEARCH(公司查詢!$A$4,完整內容收錄!C235))),1,0))</f>
        <v/>
      </c>
      <c r="C235">
        <f>B235+C234</f>
        <v/>
      </c>
    </row>
    <row r="236">
      <c r="B236">
        <f>IF(公司查詢!$A$4="",0,IF(OR(完整內容收錄!D236=公司查詢!$A$4,ISNUMBER(SEARCH(公司查詢!$A$4,完整內容收錄!C236))),1,0))</f>
        <v/>
      </c>
      <c r="C236">
        <f>B236+C235</f>
        <v/>
      </c>
    </row>
    <row r="237">
      <c r="B237">
        <f>IF(公司查詢!$A$4="",0,IF(OR(完整內容收錄!D237=公司查詢!$A$4,ISNUMBER(SEARCH(公司查詢!$A$4,完整內容收錄!C237))),1,0))</f>
        <v/>
      </c>
      <c r="C237">
        <f>B237+C236</f>
        <v/>
      </c>
    </row>
    <row r="238">
      <c r="B238">
        <f>IF(公司查詢!$A$4="",0,IF(OR(完整內容收錄!D238=公司查詢!$A$4,ISNUMBER(SEARCH(公司查詢!$A$4,完整內容收錄!C238))),1,0))</f>
        <v/>
      </c>
      <c r="C238">
        <f>B238+C237</f>
        <v/>
      </c>
    </row>
    <row r="239">
      <c r="B239">
        <f>IF(公司查詢!$A$4="",0,IF(OR(完整內容收錄!D239=公司查詢!$A$4,ISNUMBER(SEARCH(公司查詢!$A$4,完整內容收錄!C239))),1,0))</f>
        <v/>
      </c>
      <c r="C239">
        <f>B239+C238</f>
        <v/>
      </c>
    </row>
    <row r="240">
      <c r="B240">
        <f>IF(公司查詢!$A$4="",0,IF(OR(完整內容收錄!D240=公司查詢!$A$4,ISNUMBER(SEARCH(公司查詢!$A$4,完整內容收錄!C240))),1,0))</f>
        <v/>
      </c>
      <c r="C240">
        <f>B240+C239</f>
        <v/>
      </c>
    </row>
    <row r="241">
      <c r="B241">
        <f>IF(公司查詢!$A$4="",0,IF(OR(完整內容收錄!D241=公司查詢!$A$4,ISNUMBER(SEARCH(公司查詢!$A$4,完整內容收錄!C241))),1,0))</f>
        <v/>
      </c>
      <c r="C241">
        <f>B241+C240</f>
        <v/>
      </c>
    </row>
    <row r="242">
      <c r="B242">
        <f>IF(公司查詢!$A$4="",0,IF(OR(完整內容收錄!D242=公司查詢!$A$4,ISNUMBER(SEARCH(公司查詢!$A$4,完整內容收錄!C242))),1,0))</f>
        <v/>
      </c>
      <c r="C242">
        <f>B242+C241</f>
        <v/>
      </c>
    </row>
    <row r="243">
      <c r="B243">
        <f>IF(公司查詢!$A$4="",0,IF(OR(完整內容收錄!D243=公司查詢!$A$4,ISNUMBER(SEARCH(公司查詢!$A$4,完整內容收錄!C243))),1,0))</f>
        <v/>
      </c>
      <c r="C243">
        <f>B243+C242</f>
        <v/>
      </c>
    </row>
    <row r="244">
      <c r="B244">
        <f>IF(公司查詢!$A$4="",0,IF(OR(完整內容收錄!D244=公司查詢!$A$4,ISNUMBER(SEARCH(公司查詢!$A$4,完整內容收錄!C244))),1,0))</f>
        <v/>
      </c>
      <c r="C244">
        <f>B244+C243</f>
        <v/>
      </c>
    </row>
    <row r="245">
      <c r="B245">
        <f>IF(公司查詢!$A$4="",0,IF(OR(完整內容收錄!D245=公司查詢!$A$4,ISNUMBER(SEARCH(公司查詢!$A$4,完整內容收錄!C245))),1,0))</f>
        <v/>
      </c>
      <c r="C245">
        <f>B245+C244</f>
        <v/>
      </c>
    </row>
    <row r="246">
      <c r="B246">
        <f>IF(公司查詢!$A$4="",0,IF(OR(完整內容收錄!D246=公司查詢!$A$4,ISNUMBER(SEARCH(公司查詢!$A$4,完整內容收錄!C246))),1,0))</f>
        <v/>
      </c>
      <c r="C246">
        <f>B246+C245</f>
        <v/>
      </c>
    </row>
    <row r="247">
      <c r="B247">
        <f>IF(公司查詢!$A$4="",0,IF(OR(完整內容收錄!D247=公司查詢!$A$4,ISNUMBER(SEARCH(公司查詢!$A$4,完整內容收錄!C247))),1,0))</f>
        <v/>
      </c>
      <c r="C247">
        <f>B247+C246</f>
        <v/>
      </c>
    </row>
    <row r="248">
      <c r="B248">
        <f>IF(公司查詢!$A$4="",0,IF(OR(完整內容收錄!D248=公司查詢!$A$4,ISNUMBER(SEARCH(公司查詢!$A$4,完整內容收錄!C248))),1,0))</f>
        <v/>
      </c>
      <c r="C248">
        <f>B248+C247</f>
        <v/>
      </c>
    </row>
    <row r="249">
      <c r="B249">
        <f>IF(公司查詢!$A$4="",0,IF(OR(完整內容收錄!D249=公司查詢!$A$4,ISNUMBER(SEARCH(公司查詢!$A$4,完整內容收錄!C249))),1,0))</f>
        <v/>
      </c>
      <c r="C249">
        <f>B249+C248</f>
        <v/>
      </c>
    </row>
    <row r="250">
      <c r="B250">
        <f>IF(公司查詢!$A$4="",0,IF(OR(完整內容收錄!D250=公司查詢!$A$4,ISNUMBER(SEARCH(公司查詢!$A$4,完整內容收錄!C250))),1,0))</f>
        <v/>
      </c>
      <c r="C250">
        <f>B250+C249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2025-11-10T00:25:06Z</dcterms:created>
  <dcterms:modified xmlns:dcterms="http://purl.org/dc/terms/" xmlns:xsi="http://www.w3.org/2001/XMLSchema-instance" xsi:type="dcterms:W3CDTF">2025-11-11T03:06:22Z</dcterms:modified>
</cp:coreProperties>
</file>